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bacr\Dropbox\01-sharedspace\VBA-shared\VBAUtilities\numCalc\Examples\"/>
    </mc:Choice>
  </mc:AlternateContent>
  <xr:revisionPtr revIDLastSave="0" documentId="13_ncr:1_{D91379FA-694C-458B-B63F-F74F101B3300}" xr6:coauthVersionLast="47" xr6:coauthVersionMax="47" xr10:uidLastSave="{00000000-0000-0000-0000-000000000000}"/>
  <bookViews>
    <workbookView xWindow="-120" yWindow="-120" windowWidth="29040" windowHeight="17790" activeTab="3" xr2:uid="{00000000-000D-0000-FFFF-FFFF00000000}"/>
  </bookViews>
  <sheets>
    <sheet name="SystemModel" sheetId="3" r:id="rId1"/>
    <sheet name="solver" sheetId="1" r:id="rId2"/>
    <sheet name="Lib_HeatTransfer" sheetId="2" r:id="rId3"/>
    <sheet name="ExtrT" sheetId="4" r:id="rId4"/>
    <sheet name="ExtrQ" sheetId="5" r:id="rId5"/>
  </sheets>
  <definedNames>
    <definedName name="_xlnm._FilterDatabase" localSheetId="1" hidden="1">solver!#REF!</definedName>
    <definedName name="solver_adj" localSheetId="1" hidden="1">solver!#REF!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solver!#REF!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 calcMode="manual" iterate="1" iterateCount="5" iterateDelta="1.0000000000000001E-5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R27" i="3" l="1"/>
  <c r="AL4" i="3"/>
  <c r="BN4" i="3" s="1"/>
  <c r="O11" i="5"/>
  <c r="O7" i="5"/>
  <c r="H10" i="4"/>
  <c r="S10" i="4" s="1"/>
  <c r="G10" i="4"/>
  <c r="R10" i="4" s="1"/>
  <c r="F10" i="4"/>
  <c r="Q10" i="4" s="1"/>
  <c r="E10" i="4"/>
  <c r="P10" i="4" s="1"/>
  <c r="E4" i="4"/>
  <c r="P4" i="4" s="1"/>
  <c r="ET59" i="3"/>
  <c r="EL60" i="3" s="1"/>
  <c r="DR59" i="3"/>
  <c r="DR72" i="3" s="1"/>
  <c r="CP59" i="3"/>
  <c r="CP72" i="3" s="1"/>
  <c r="BN59" i="3"/>
  <c r="BN72" i="3" s="1"/>
  <c r="AL59" i="3"/>
  <c r="AT60" i="3" s="1"/>
  <c r="J59" i="3"/>
  <c r="J72" i="3" s="1"/>
  <c r="ET28" i="3"/>
  <c r="EL29" i="3" s="1"/>
  <c r="DR28" i="3"/>
  <c r="DR21" i="3" s="1"/>
  <c r="CP28" i="3"/>
  <c r="CP21" i="3" s="1"/>
  <c r="BN28" i="3"/>
  <c r="BN21" i="3" s="1"/>
  <c r="AL28" i="3"/>
  <c r="AD29" i="3" s="1"/>
  <c r="J28" i="3"/>
  <c r="R29" i="3" s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E131" i="1"/>
  <c r="E132" i="1"/>
  <c r="E133" i="1"/>
  <c r="E134" i="1"/>
  <c r="E135" i="1"/>
  <c r="E136" i="1"/>
  <c r="E137" i="1"/>
  <c r="E138" i="1"/>
  <c r="E139" i="1"/>
  <c r="E117" i="1"/>
  <c r="E118" i="1"/>
  <c r="E119" i="1"/>
  <c r="E120" i="1"/>
  <c r="E121" i="1"/>
  <c r="E122" i="1"/>
  <c r="E123" i="1"/>
  <c r="E124" i="1"/>
  <c r="E125" i="1"/>
  <c r="E103" i="1"/>
  <c r="E104" i="1"/>
  <c r="E105" i="1"/>
  <c r="E106" i="1"/>
  <c r="E107" i="1"/>
  <c r="E108" i="1"/>
  <c r="E109" i="1"/>
  <c r="E110" i="1"/>
  <c r="E111" i="1"/>
  <c r="E89" i="1"/>
  <c r="E90" i="1"/>
  <c r="E91" i="1"/>
  <c r="E92" i="1"/>
  <c r="E93" i="1"/>
  <c r="E94" i="1"/>
  <c r="E95" i="1"/>
  <c r="E96" i="1"/>
  <c r="E97" i="1"/>
  <c r="E73" i="1"/>
  <c r="E74" i="1"/>
  <c r="E75" i="1"/>
  <c r="E76" i="1"/>
  <c r="E77" i="1"/>
  <c r="E78" i="1"/>
  <c r="E79" i="1"/>
  <c r="E80" i="1"/>
  <c r="E81" i="1"/>
  <c r="E59" i="1"/>
  <c r="E60" i="1"/>
  <c r="E61" i="1"/>
  <c r="E62" i="1"/>
  <c r="E63" i="1"/>
  <c r="E64" i="1"/>
  <c r="E65" i="1"/>
  <c r="E66" i="1"/>
  <c r="E67" i="1"/>
  <c r="E41" i="1"/>
  <c r="E42" i="1"/>
  <c r="E43" i="1"/>
  <c r="E44" i="1"/>
  <c r="E45" i="1"/>
  <c r="E46" i="1"/>
  <c r="E47" i="1"/>
  <c r="E48" i="1"/>
  <c r="E49" i="1"/>
  <c r="E27" i="1"/>
  <c r="E28" i="1"/>
  <c r="E29" i="1"/>
  <c r="E30" i="1"/>
  <c r="E31" i="1"/>
  <c r="E32" i="1"/>
  <c r="E33" i="1"/>
  <c r="E34" i="1"/>
  <c r="E35" i="1"/>
  <c r="D143" i="1"/>
  <c r="D144" i="1"/>
  <c r="D145" i="1"/>
  <c r="D146" i="1"/>
  <c r="D147" i="1"/>
  <c r="D148" i="1"/>
  <c r="D149" i="1"/>
  <c r="D150" i="1"/>
  <c r="D142" i="1"/>
  <c r="E129" i="1"/>
  <c r="E130" i="1"/>
  <c r="E128" i="1"/>
  <c r="E115" i="1"/>
  <c r="E116" i="1"/>
  <c r="E114" i="1"/>
  <c r="E101" i="1"/>
  <c r="E102" i="1"/>
  <c r="E100" i="1"/>
  <c r="E87" i="1"/>
  <c r="E88" i="1"/>
  <c r="E86" i="1"/>
  <c r="E71" i="1"/>
  <c r="E72" i="1"/>
  <c r="E70" i="1"/>
  <c r="E57" i="1"/>
  <c r="E58" i="1"/>
  <c r="E56" i="1"/>
  <c r="E39" i="1"/>
  <c r="E40" i="1"/>
  <c r="E38" i="1"/>
  <c r="E25" i="1"/>
  <c r="E26" i="1"/>
  <c r="E24" i="1"/>
  <c r="J83" i="3"/>
  <c r="DR83" i="3"/>
  <c r="CP83" i="3"/>
  <c r="BN83" i="3"/>
  <c r="AL83" i="3"/>
  <c r="DN89" i="3"/>
  <c r="DO89" i="3" s="1"/>
  <c r="CL89" i="3"/>
  <c r="CM89" i="3" s="1"/>
  <c r="BJ89" i="3"/>
  <c r="BK89" i="3" s="1"/>
  <c r="AH89" i="3"/>
  <c r="AI89" i="3" s="1"/>
  <c r="EX58" i="3"/>
  <c r="EY58" i="3" s="1"/>
  <c r="DN71" i="3"/>
  <c r="DO71" i="3" s="1"/>
  <c r="CL71" i="3"/>
  <c r="CM71" i="3" s="1"/>
  <c r="BJ71" i="3"/>
  <c r="BJ72" i="3" s="1"/>
  <c r="BK72" i="3" s="1"/>
  <c r="AH71" i="3"/>
  <c r="AH72" i="3" s="1"/>
  <c r="DN40" i="3"/>
  <c r="DO40" i="3" s="1"/>
  <c r="CL40" i="3"/>
  <c r="CL41" i="3" s="1"/>
  <c r="BJ40" i="3"/>
  <c r="BJ41" i="3" s="1"/>
  <c r="BJ42" i="3" s="1"/>
  <c r="BJ43" i="3" s="1"/>
  <c r="BJ44" i="3" s="1"/>
  <c r="AH40" i="3"/>
  <c r="AI40" i="3" s="1"/>
  <c r="EP58" i="3"/>
  <c r="EQ58" i="3" s="1"/>
  <c r="DV58" i="3"/>
  <c r="DV59" i="3" s="1"/>
  <c r="DV60" i="3" s="1"/>
  <c r="DN58" i="3"/>
  <c r="DN59" i="3" s="1"/>
  <c r="DO59" i="3" s="1"/>
  <c r="CT58" i="3"/>
  <c r="CU58" i="3" s="1"/>
  <c r="CV58" i="3" s="1"/>
  <c r="CW58" i="3" s="1"/>
  <c r="CX58" i="3" s="1"/>
  <c r="CY58" i="3" s="1"/>
  <c r="CZ58" i="3" s="1"/>
  <c r="CL58" i="3"/>
  <c r="CL59" i="3" s="1"/>
  <c r="CM59" i="3" s="1"/>
  <c r="BR58" i="3"/>
  <c r="BR59" i="3" s="1"/>
  <c r="BR60" i="3" s="1"/>
  <c r="BJ58" i="3"/>
  <c r="BJ59" i="3" s="1"/>
  <c r="BK59" i="3" s="1"/>
  <c r="AP58" i="3"/>
  <c r="AP59" i="3" s="1"/>
  <c r="AP60" i="3" s="1"/>
  <c r="AH58" i="3"/>
  <c r="AI58" i="3" s="1"/>
  <c r="DN9" i="3"/>
  <c r="DN10" i="3" s="1"/>
  <c r="DN11" i="3" s="1"/>
  <c r="DN12" i="3" s="1"/>
  <c r="DN13" i="3" s="1"/>
  <c r="DN4" i="3"/>
  <c r="DO4" i="3" s="1"/>
  <c r="CL9" i="3"/>
  <c r="CL10" i="3" s="1"/>
  <c r="CL4" i="3"/>
  <c r="CM4" i="3" s="1"/>
  <c r="BJ9" i="3"/>
  <c r="BK9" i="3" s="1"/>
  <c r="BJ4" i="3"/>
  <c r="BK4" i="3" s="1"/>
  <c r="AH9" i="3"/>
  <c r="AI9" i="3" s="1"/>
  <c r="AH4" i="3"/>
  <c r="AI4" i="3" s="1"/>
  <c r="EP27" i="3"/>
  <c r="EQ27" i="3" s="1"/>
  <c r="DV27" i="3"/>
  <c r="DV28" i="3" s="1"/>
  <c r="DV29" i="3" s="1"/>
  <c r="EX27" i="3"/>
  <c r="EY27" i="3" s="1"/>
  <c r="DN27" i="3"/>
  <c r="DN28" i="3" s="1"/>
  <c r="DO28" i="3" s="1"/>
  <c r="CT27" i="3"/>
  <c r="CT28" i="3" s="1"/>
  <c r="CT29" i="3" s="1"/>
  <c r="CL27" i="3"/>
  <c r="CL28" i="3" s="1"/>
  <c r="CM28" i="3" s="1"/>
  <c r="BR27" i="3"/>
  <c r="BR28" i="3" s="1"/>
  <c r="BR29" i="3" s="1"/>
  <c r="BJ27" i="3"/>
  <c r="BJ28" i="3" s="1"/>
  <c r="BK28" i="3" s="1"/>
  <c r="AP27" i="3"/>
  <c r="AP28" i="3" s="1"/>
  <c r="AP29" i="3" s="1"/>
  <c r="D10" i="4"/>
  <c r="O10" i="4" s="1"/>
  <c r="D4" i="4"/>
  <c r="O4" i="4" s="1"/>
  <c r="N4" i="2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H27" i="3"/>
  <c r="AH28" i="3" s="1"/>
  <c r="AI28" i="3" s="1"/>
  <c r="F71" i="3"/>
  <c r="F72" i="3" s="1"/>
  <c r="G72" i="3" s="1"/>
  <c r="N58" i="3"/>
  <c r="N59" i="3" s="1"/>
  <c r="N60" i="3" s="1"/>
  <c r="J10" i="3"/>
  <c r="F89" i="3"/>
  <c r="G89" i="3" s="1"/>
  <c r="F4" i="3"/>
  <c r="G4" i="3" s="1"/>
  <c r="F58" i="3"/>
  <c r="F59" i="3" s="1"/>
  <c r="G59" i="3" s="1"/>
  <c r="N27" i="3"/>
  <c r="N28" i="3" s="1"/>
  <c r="N29" i="3" s="1"/>
  <c r="F40" i="3"/>
  <c r="F41" i="3" s="1"/>
  <c r="G41" i="3" s="1"/>
  <c r="F27" i="3"/>
  <c r="F28" i="3" s="1"/>
  <c r="G28" i="3" s="1"/>
  <c r="AV8" i="2"/>
  <c r="AJ8" i="2"/>
  <c r="AP13" i="2"/>
  <c r="AP4" i="2"/>
  <c r="F9" i="3"/>
  <c r="G9" i="3" s="1"/>
  <c r="D33" i="2"/>
  <c r="E33" i="2" s="1"/>
  <c r="D28" i="2"/>
  <c r="E28" i="2" s="1"/>
  <c r="D22" i="2"/>
  <c r="E22" i="2" s="1"/>
  <c r="AF4" i="2"/>
  <c r="AF5" i="2" s="1"/>
  <c r="AF6" i="2" s="1"/>
  <c r="AF7" i="2" s="1"/>
  <c r="AF8" i="2" s="1"/>
  <c r="AF9" i="2" s="1"/>
  <c r="AF10" i="2" s="1"/>
  <c r="AF11" i="2" s="1"/>
  <c r="AF12" i="2" s="1"/>
  <c r="AF13" i="2" s="1"/>
  <c r="V10" i="2"/>
  <c r="V11" i="2" s="1"/>
  <c r="AB7" i="2" s="1"/>
  <c r="L4" i="2"/>
  <c r="M4" i="2" s="1"/>
  <c r="D4" i="2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H12" i="2"/>
  <c r="H13" i="2" s="1"/>
  <c r="H17" i="2" s="1"/>
  <c r="N41" i="1"/>
  <c r="N40" i="1"/>
  <c r="O1" i="1"/>
  <c r="N1" i="1"/>
  <c r="N12" i="1" s="1"/>
  <c r="M1" i="1"/>
  <c r="L1" i="1"/>
  <c r="A3" i="1"/>
  <c r="A4" i="1"/>
  <c r="A5" i="1"/>
  <c r="H1" i="1"/>
  <c r="G1" i="1"/>
  <c r="A33" i="1"/>
  <c r="A34" i="1"/>
  <c r="A35" i="1"/>
  <c r="A6" i="1"/>
  <c r="A7" i="1"/>
  <c r="A8" i="1"/>
  <c r="A9" i="1"/>
  <c r="A19" i="1"/>
  <c r="A20" i="1"/>
  <c r="A21" i="1"/>
  <c r="A22" i="1"/>
  <c r="A23" i="1"/>
  <c r="A31" i="1"/>
  <c r="C1" i="1"/>
  <c r="D1" i="1"/>
  <c r="A32" i="1"/>
  <c r="A10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30" i="1"/>
  <c r="A29" i="1"/>
  <c r="A28" i="1"/>
  <c r="A27" i="1"/>
  <c r="A26" i="1"/>
  <c r="A25" i="1"/>
  <c r="A24" i="1"/>
  <c r="A44" i="1"/>
  <c r="A43" i="1"/>
  <c r="A42" i="1"/>
  <c r="A41" i="1"/>
  <c r="A40" i="1"/>
  <c r="A39" i="1"/>
  <c r="A38" i="1"/>
  <c r="A37" i="1"/>
  <c r="A36" i="1"/>
  <c r="A18" i="1"/>
  <c r="A17" i="1"/>
  <c r="A16" i="1"/>
  <c r="A15" i="1"/>
  <c r="A14" i="1"/>
  <c r="A13" i="1"/>
  <c r="A12" i="1"/>
  <c r="A11" i="1"/>
  <c r="A2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K1" i="1"/>
  <c r="J1" i="1"/>
  <c r="I1" i="1"/>
  <c r="F1" i="1"/>
  <c r="F9" i="1" s="1"/>
  <c r="E1" i="1"/>
  <c r="B1" i="1"/>
  <c r="A1" i="1"/>
  <c r="CP4" i="3" l="1"/>
  <c r="F4" i="4"/>
  <c r="Q4" i="4" s="1"/>
  <c r="H8" i="4"/>
  <c r="S8" i="4" s="1"/>
  <c r="E6" i="4"/>
  <c r="P6" i="4" s="1"/>
  <c r="F6" i="4"/>
  <c r="Q6" i="4" s="1"/>
  <c r="J6" i="4"/>
  <c r="U6" i="4" s="1"/>
  <c r="G8" i="4"/>
  <c r="R8" i="4" s="1"/>
  <c r="D8" i="4"/>
  <c r="O8" i="4" s="1"/>
  <c r="J8" i="4"/>
  <c r="U8" i="4" s="1"/>
  <c r="E8" i="4"/>
  <c r="P8" i="4" s="1"/>
  <c r="F8" i="4"/>
  <c r="Q8" i="4" s="1"/>
  <c r="G6" i="4"/>
  <c r="R6" i="4" s="1"/>
  <c r="H6" i="4"/>
  <c r="S6" i="4" s="1"/>
  <c r="D6" i="4"/>
  <c r="O6" i="4" s="1"/>
  <c r="AL52" i="3"/>
  <c r="AD60" i="3"/>
  <c r="C141" i="1"/>
  <c r="F17" i="1"/>
  <c r="CP52" i="3"/>
  <c r="AL41" i="3"/>
  <c r="BN41" i="3"/>
  <c r="CP41" i="3"/>
  <c r="DR41" i="3"/>
  <c r="BN52" i="3"/>
  <c r="DJ29" i="3"/>
  <c r="DR52" i="3"/>
  <c r="BF29" i="3"/>
  <c r="CH29" i="3"/>
  <c r="AT29" i="3"/>
  <c r="BV29" i="3"/>
  <c r="CX29" i="3"/>
  <c r="DZ29" i="3"/>
  <c r="EF33" i="3" s="1"/>
  <c r="CH60" i="3"/>
  <c r="BF60" i="3"/>
  <c r="AZ64" i="3" s="1"/>
  <c r="DJ60" i="3"/>
  <c r="BV60" i="3"/>
  <c r="CX60" i="3"/>
  <c r="DZ60" i="3"/>
  <c r="EF64" i="3" s="1"/>
  <c r="DR79" i="3"/>
  <c r="AL10" i="3"/>
  <c r="AL72" i="3"/>
  <c r="AL79" i="3" s="1"/>
  <c r="F13" i="5" s="1"/>
  <c r="BN79" i="3"/>
  <c r="CP79" i="3"/>
  <c r="AL21" i="3"/>
  <c r="BN10" i="3"/>
  <c r="BN17" i="3" s="1"/>
  <c r="BK40" i="3"/>
  <c r="DN41" i="3"/>
  <c r="DO41" i="3" s="1"/>
  <c r="DN72" i="3"/>
  <c r="DN73" i="3" s="1"/>
  <c r="DN74" i="3" s="1"/>
  <c r="DN75" i="3" s="1"/>
  <c r="DO75" i="3" s="1"/>
  <c r="AH59" i="3"/>
  <c r="AI59" i="3" s="1"/>
  <c r="CL72" i="3"/>
  <c r="BS58" i="3"/>
  <c r="BT58" i="3" s="1"/>
  <c r="BU58" i="3" s="1"/>
  <c r="BV58" i="3" s="1"/>
  <c r="BW58" i="3" s="1"/>
  <c r="BX58" i="3" s="1"/>
  <c r="BY58" i="3" s="1"/>
  <c r="BZ58" i="3" s="1"/>
  <c r="CA58" i="3" s="1"/>
  <c r="CB58" i="3" s="1"/>
  <c r="CC58" i="3" s="1"/>
  <c r="CD58" i="3" s="1"/>
  <c r="BK71" i="3"/>
  <c r="DO58" i="3"/>
  <c r="BK44" i="3"/>
  <c r="BJ45" i="3"/>
  <c r="AH73" i="3"/>
  <c r="AH74" i="3" s="1"/>
  <c r="AH75" i="3" s="1"/>
  <c r="AI72" i="3"/>
  <c r="CL42" i="3"/>
  <c r="CL43" i="3" s="1"/>
  <c r="CL44" i="3" s="1"/>
  <c r="CM41" i="3"/>
  <c r="BJ73" i="3"/>
  <c r="BJ74" i="3" s="1"/>
  <c r="BJ75" i="3" s="1"/>
  <c r="AH41" i="3"/>
  <c r="CM40" i="3"/>
  <c r="BK41" i="3"/>
  <c r="AI71" i="3"/>
  <c r="EP59" i="3"/>
  <c r="EQ59" i="3" s="1"/>
  <c r="AQ58" i="3"/>
  <c r="AR58" i="3" s="1"/>
  <c r="AS58" i="3" s="1"/>
  <c r="AT58" i="3" s="1"/>
  <c r="AU58" i="3" s="1"/>
  <c r="AV58" i="3" s="1"/>
  <c r="AV59" i="3" s="1"/>
  <c r="AV60" i="3" s="1"/>
  <c r="AQ60" i="3"/>
  <c r="AP61" i="3"/>
  <c r="DA58" i="3"/>
  <c r="DB58" i="3" s="1"/>
  <c r="DC58" i="3" s="1"/>
  <c r="DD58" i="3" s="1"/>
  <c r="DE58" i="3" s="1"/>
  <c r="DF58" i="3" s="1"/>
  <c r="CZ59" i="3"/>
  <c r="CZ60" i="3" s="1"/>
  <c r="BR61" i="3"/>
  <c r="BS60" i="3"/>
  <c r="DW60" i="3"/>
  <c r="DV61" i="3"/>
  <c r="BK58" i="3"/>
  <c r="DW58" i="3"/>
  <c r="DX58" i="3" s="1"/>
  <c r="DY58" i="3" s="1"/>
  <c r="DZ58" i="3" s="1"/>
  <c r="EA58" i="3" s="1"/>
  <c r="EB58" i="3" s="1"/>
  <c r="CT59" i="3"/>
  <c r="CT60" i="3" s="1"/>
  <c r="CM58" i="3"/>
  <c r="AH10" i="3"/>
  <c r="AH11" i="3" s="1"/>
  <c r="AH12" i="3" s="1"/>
  <c r="AH13" i="3" s="1"/>
  <c r="AH14" i="3" s="1"/>
  <c r="CM9" i="3"/>
  <c r="CL11" i="3"/>
  <c r="CL12" i="3" s="1"/>
  <c r="CL13" i="3" s="1"/>
  <c r="CL14" i="3" s="1"/>
  <c r="CM10" i="3"/>
  <c r="EP28" i="3"/>
  <c r="EQ28" i="3" s="1"/>
  <c r="DO9" i="3"/>
  <c r="DO13" i="3"/>
  <c r="DN14" i="3"/>
  <c r="BK27" i="3"/>
  <c r="DW27" i="3"/>
  <c r="DX27" i="3" s="1"/>
  <c r="DY27" i="3" s="1"/>
  <c r="DZ27" i="3" s="1"/>
  <c r="EA27" i="3" s="1"/>
  <c r="EB27" i="3" s="1"/>
  <c r="EB28" i="3" s="1"/>
  <c r="EB29" i="3" s="1"/>
  <c r="DO10" i="3"/>
  <c r="BJ10" i="3"/>
  <c r="DO27" i="3"/>
  <c r="AP30" i="3"/>
  <c r="AQ29" i="3"/>
  <c r="CU29" i="3"/>
  <c r="CT30" i="3"/>
  <c r="DW29" i="3"/>
  <c r="DV30" i="3"/>
  <c r="BS29" i="3"/>
  <c r="BR30" i="3"/>
  <c r="CU27" i="3"/>
  <c r="CV27" i="3" s="1"/>
  <c r="CW27" i="3" s="1"/>
  <c r="CX27" i="3" s="1"/>
  <c r="CY27" i="3" s="1"/>
  <c r="CZ27" i="3" s="1"/>
  <c r="BS27" i="3"/>
  <c r="BT27" i="3" s="1"/>
  <c r="BU27" i="3" s="1"/>
  <c r="BV27" i="3" s="1"/>
  <c r="BW27" i="3" s="1"/>
  <c r="BX27" i="3" s="1"/>
  <c r="CM27" i="3"/>
  <c r="AQ27" i="3"/>
  <c r="AR27" i="3" s="1"/>
  <c r="AS27" i="3" s="1"/>
  <c r="AT27" i="3" s="1"/>
  <c r="AU27" i="3" s="1"/>
  <c r="AV27" i="3" s="1"/>
  <c r="G27" i="3"/>
  <c r="G58" i="3"/>
  <c r="J41" i="3"/>
  <c r="X33" i="3"/>
  <c r="R60" i="3"/>
  <c r="J21" i="3"/>
  <c r="J17" i="3" s="1"/>
  <c r="J52" i="3"/>
  <c r="G40" i="3"/>
  <c r="G71" i="3"/>
  <c r="J79" i="3"/>
  <c r="AI27" i="3"/>
  <c r="N61" i="3"/>
  <c r="O60" i="3"/>
  <c r="F73" i="3"/>
  <c r="F74" i="3" s="1"/>
  <c r="F75" i="3" s="1"/>
  <c r="G75" i="3" s="1"/>
  <c r="O58" i="3"/>
  <c r="P58" i="3" s="1"/>
  <c r="Q58" i="3" s="1"/>
  <c r="R58" i="3" s="1"/>
  <c r="S58" i="3" s="1"/>
  <c r="T58" i="3" s="1"/>
  <c r="U58" i="3" s="1"/>
  <c r="V58" i="3" s="1"/>
  <c r="W58" i="3" s="1"/>
  <c r="X58" i="3" s="1"/>
  <c r="Y58" i="3" s="1"/>
  <c r="Z58" i="3" s="1"/>
  <c r="AA58" i="3" s="1"/>
  <c r="AB58" i="3" s="1"/>
  <c r="AC58" i="3" s="1"/>
  <c r="AD58" i="3" s="1"/>
  <c r="O29" i="3"/>
  <c r="N30" i="3"/>
  <c r="O27" i="3"/>
  <c r="P27" i="3" s="1"/>
  <c r="Q27" i="3" s="1"/>
  <c r="R27" i="3" s="1"/>
  <c r="S27" i="3" s="1"/>
  <c r="T27" i="3" s="1"/>
  <c r="U27" i="3" s="1"/>
  <c r="V27" i="3" s="1"/>
  <c r="W27" i="3" s="1"/>
  <c r="X27" i="3" s="1"/>
  <c r="Y27" i="3" s="1"/>
  <c r="Z27" i="3" s="1"/>
  <c r="AA27" i="3" s="1"/>
  <c r="AB27" i="3" s="1"/>
  <c r="AC27" i="3" s="1"/>
  <c r="AD27" i="3" s="1"/>
  <c r="F10" i="3"/>
  <c r="F42" i="3"/>
  <c r="F43" i="3" s="1"/>
  <c r="F44" i="3" s="1"/>
  <c r="G44" i="3" s="1"/>
  <c r="AP9" i="2"/>
  <c r="D23" i="2"/>
  <c r="AR4" i="2"/>
  <c r="AR5" i="2" s="1"/>
  <c r="AR6" i="2" s="1"/>
  <c r="AR7" i="2" s="1"/>
  <c r="AR8" i="2" s="1"/>
  <c r="AR9" i="2" s="1"/>
  <c r="AL4" i="2"/>
  <c r="AL5" i="2" s="1"/>
  <c r="AL6" i="2" s="1"/>
  <c r="AL7" i="2" s="1"/>
  <c r="AL8" i="2" s="1"/>
  <c r="AL9" i="2" s="1"/>
  <c r="AL10" i="2" s="1"/>
  <c r="AL11" i="2" s="1"/>
  <c r="AL12" i="2" s="1"/>
  <c r="AG8" i="2"/>
  <c r="P7" i="2"/>
  <c r="X5" i="2"/>
  <c r="X6" i="2" s="1"/>
  <c r="L5" i="2"/>
  <c r="L6" i="2" s="1"/>
  <c r="M6" i="2" s="1"/>
  <c r="R5" i="2"/>
  <c r="R6" i="2" s="1"/>
  <c r="H4" i="2"/>
  <c r="E17" i="2"/>
  <c r="E4" i="2"/>
  <c r="E5" i="2"/>
  <c r="N43" i="1"/>
  <c r="N13" i="1"/>
  <c r="N14" i="1"/>
  <c r="N7" i="1"/>
  <c r="N15" i="1"/>
  <c r="N8" i="1"/>
  <c r="N16" i="1"/>
  <c r="N9" i="1"/>
  <c r="N17" i="1"/>
  <c r="N10" i="1"/>
  <c r="N11" i="1"/>
  <c r="F13" i="1"/>
  <c r="F14" i="1"/>
  <c r="F16" i="1"/>
  <c r="F15" i="1"/>
  <c r="F10" i="1"/>
  <c r="F11" i="1"/>
  <c r="F12" i="1"/>
  <c r="F7" i="1"/>
  <c r="F8" i="1"/>
  <c r="DR4" i="3" l="1"/>
  <c r="G4" i="4"/>
  <c r="R4" i="4" s="1"/>
  <c r="CP10" i="3"/>
  <c r="CP17" i="3" s="1"/>
  <c r="J5" i="5" s="1"/>
  <c r="J80" i="3"/>
  <c r="J84" i="3" s="1"/>
  <c r="D13" i="5"/>
  <c r="BN71" i="3"/>
  <c r="H13" i="5"/>
  <c r="BN9" i="3"/>
  <c r="H5" i="5"/>
  <c r="CP80" i="3"/>
  <c r="CP84" i="3" s="1"/>
  <c r="J13" i="5"/>
  <c r="DR80" i="3"/>
  <c r="DR84" i="3" s="1"/>
  <c r="L13" i="5"/>
  <c r="J18" i="3"/>
  <c r="J22" i="3" s="1"/>
  <c r="D5" i="5"/>
  <c r="AZ65" i="3"/>
  <c r="BF61" i="3" s="1"/>
  <c r="G11" i="5"/>
  <c r="EF34" i="3"/>
  <c r="EL30" i="3" s="1"/>
  <c r="ET27" i="3" s="1"/>
  <c r="F75" i="1" s="1"/>
  <c r="M7" i="5"/>
  <c r="EF65" i="3"/>
  <c r="EL61" i="3" s="1"/>
  <c r="ET58" i="3" s="1"/>
  <c r="F81" i="1" s="1"/>
  <c r="M11" i="5"/>
  <c r="R30" i="3"/>
  <c r="E7" i="5"/>
  <c r="AL48" i="3"/>
  <c r="AZ33" i="3"/>
  <c r="BN48" i="3"/>
  <c r="CP48" i="3"/>
  <c r="DD33" i="3"/>
  <c r="K7" i="5" s="1"/>
  <c r="DR48" i="3"/>
  <c r="L9" i="5" s="1"/>
  <c r="CB33" i="3"/>
  <c r="I7" i="5" s="1"/>
  <c r="DZ30" i="3"/>
  <c r="DZ61" i="3"/>
  <c r="DD64" i="3"/>
  <c r="CB64" i="3"/>
  <c r="I11" i="5" s="1"/>
  <c r="BN80" i="3"/>
  <c r="BN84" i="3" s="1"/>
  <c r="AT61" i="3"/>
  <c r="DR71" i="3"/>
  <c r="BN18" i="3"/>
  <c r="BN22" i="3" s="1"/>
  <c r="AL80" i="3"/>
  <c r="AL84" i="3" s="1"/>
  <c r="AL71" i="3"/>
  <c r="AL17" i="3"/>
  <c r="CP71" i="3"/>
  <c r="X64" i="3"/>
  <c r="BX59" i="3"/>
  <c r="BX60" i="3" s="1"/>
  <c r="BY60" i="3" s="1"/>
  <c r="DN42" i="3"/>
  <c r="DN43" i="3" s="1"/>
  <c r="DN44" i="3" s="1"/>
  <c r="DO44" i="3" s="1"/>
  <c r="DO72" i="3"/>
  <c r="DN76" i="3"/>
  <c r="DN77" i="3" s="1"/>
  <c r="AW58" i="3"/>
  <c r="AX58" i="3" s="1"/>
  <c r="AY58" i="3" s="1"/>
  <c r="AZ58" i="3" s="1"/>
  <c r="BA58" i="3" s="1"/>
  <c r="BB58" i="3" s="1"/>
  <c r="BC58" i="3" s="1"/>
  <c r="BD58" i="3" s="1"/>
  <c r="BE58" i="3" s="1"/>
  <c r="BF58" i="3" s="1"/>
  <c r="AI13" i="3"/>
  <c r="CL73" i="3"/>
  <c r="CL74" i="3" s="1"/>
  <c r="CL75" i="3" s="1"/>
  <c r="CM72" i="3"/>
  <c r="BJ76" i="3"/>
  <c r="BK75" i="3"/>
  <c r="AH76" i="3"/>
  <c r="AI75" i="3"/>
  <c r="AI10" i="3"/>
  <c r="BJ46" i="3"/>
  <c r="BK45" i="3"/>
  <c r="AH42" i="3"/>
  <c r="AH43" i="3" s="1"/>
  <c r="AH44" i="3" s="1"/>
  <c r="AI41" i="3"/>
  <c r="CL45" i="3"/>
  <c r="CM44" i="3"/>
  <c r="BR62" i="3"/>
  <c r="BR63" i="3" s="1"/>
  <c r="BR64" i="3" s="1"/>
  <c r="BR65" i="3" s="1"/>
  <c r="BR66" i="3" s="1"/>
  <c r="BS61" i="3"/>
  <c r="CU60" i="3"/>
  <c r="CT61" i="3"/>
  <c r="CZ61" i="3"/>
  <c r="DA60" i="3"/>
  <c r="DF59" i="3"/>
  <c r="DF60" i="3" s="1"/>
  <c r="DG58" i="3"/>
  <c r="DH58" i="3" s="1"/>
  <c r="DI58" i="3" s="1"/>
  <c r="DJ58" i="3" s="1"/>
  <c r="AV61" i="3"/>
  <c r="AW60" i="3"/>
  <c r="EB59" i="3"/>
  <c r="EB60" i="3" s="1"/>
  <c r="EC58" i="3"/>
  <c r="ED58" i="3" s="1"/>
  <c r="EE58" i="3" s="1"/>
  <c r="EF58" i="3" s="1"/>
  <c r="EG58" i="3" s="1"/>
  <c r="EH58" i="3" s="1"/>
  <c r="DV62" i="3"/>
  <c r="DV63" i="3" s="1"/>
  <c r="DV64" i="3" s="1"/>
  <c r="DV65" i="3" s="1"/>
  <c r="DV66" i="3" s="1"/>
  <c r="DW61" i="3"/>
  <c r="CE58" i="3"/>
  <c r="CF58" i="3" s="1"/>
  <c r="CG58" i="3" s="1"/>
  <c r="CH58" i="3" s="1"/>
  <c r="CD59" i="3"/>
  <c r="CD60" i="3" s="1"/>
  <c r="AQ61" i="3"/>
  <c r="AP62" i="3"/>
  <c r="AP63" i="3" s="1"/>
  <c r="AP64" i="3" s="1"/>
  <c r="AP65" i="3" s="1"/>
  <c r="AP66" i="3" s="1"/>
  <c r="CM13" i="3"/>
  <c r="EC27" i="3"/>
  <c r="ED27" i="3" s="1"/>
  <c r="EE27" i="3" s="1"/>
  <c r="EF27" i="3" s="1"/>
  <c r="EG27" i="3" s="1"/>
  <c r="EH27" i="3" s="1"/>
  <c r="EI27" i="3" s="1"/>
  <c r="EJ27" i="3" s="1"/>
  <c r="EK27" i="3" s="1"/>
  <c r="EL27" i="3" s="1"/>
  <c r="DO14" i="3"/>
  <c r="DN15" i="3"/>
  <c r="BJ11" i="3"/>
  <c r="BJ12" i="3" s="1"/>
  <c r="BJ13" i="3" s="1"/>
  <c r="BK10" i="3"/>
  <c r="CL15" i="3"/>
  <c r="CM14" i="3"/>
  <c r="BX28" i="3"/>
  <c r="BX29" i="3" s="1"/>
  <c r="BY27" i="3"/>
  <c r="BZ27" i="3" s="1"/>
  <c r="CA27" i="3" s="1"/>
  <c r="CB27" i="3" s="1"/>
  <c r="CC27" i="3" s="1"/>
  <c r="CD27" i="3" s="1"/>
  <c r="DW30" i="3"/>
  <c r="DV31" i="3"/>
  <c r="DV32" i="3" s="1"/>
  <c r="DV33" i="3" s="1"/>
  <c r="DV34" i="3" s="1"/>
  <c r="DV35" i="3" s="1"/>
  <c r="AQ30" i="3"/>
  <c r="AP31" i="3"/>
  <c r="AP32" i="3" s="1"/>
  <c r="AP33" i="3" s="1"/>
  <c r="AP34" i="3" s="1"/>
  <c r="AP35" i="3" s="1"/>
  <c r="CU30" i="3"/>
  <c r="CT31" i="3"/>
  <c r="CT32" i="3" s="1"/>
  <c r="CT33" i="3" s="1"/>
  <c r="CT34" i="3" s="1"/>
  <c r="CT35" i="3" s="1"/>
  <c r="AH15" i="3"/>
  <c r="AI14" i="3"/>
  <c r="EC29" i="3"/>
  <c r="EB30" i="3"/>
  <c r="DA27" i="3"/>
  <c r="DB27" i="3" s="1"/>
  <c r="DC27" i="3" s="1"/>
  <c r="DD27" i="3" s="1"/>
  <c r="DE27" i="3" s="1"/>
  <c r="DF27" i="3" s="1"/>
  <c r="CZ28" i="3"/>
  <c r="CZ29" i="3" s="1"/>
  <c r="AW27" i="3"/>
  <c r="AX27" i="3" s="1"/>
  <c r="AY27" i="3" s="1"/>
  <c r="AZ27" i="3" s="1"/>
  <c r="BA27" i="3" s="1"/>
  <c r="BB27" i="3" s="1"/>
  <c r="AV28" i="3"/>
  <c r="AV29" i="3" s="1"/>
  <c r="BS30" i="3"/>
  <c r="BR31" i="3"/>
  <c r="BR32" i="3" s="1"/>
  <c r="BR33" i="3" s="1"/>
  <c r="BR34" i="3" s="1"/>
  <c r="BR35" i="3" s="1"/>
  <c r="J48" i="3"/>
  <c r="X34" i="3"/>
  <c r="AD30" i="3" s="1"/>
  <c r="F11" i="3"/>
  <c r="F12" i="3" s="1"/>
  <c r="F13" i="3" s="1"/>
  <c r="G10" i="3"/>
  <c r="J71" i="3"/>
  <c r="J9" i="3"/>
  <c r="N62" i="3"/>
  <c r="N63" i="3" s="1"/>
  <c r="N64" i="3" s="1"/>
  <c r="N65" i="3" s="1"/>
  <c r="N66" i="3" s="1"/>
  <c r="O61" i="3"/>
  <c r="T59" i="3"/>
  <c r="T60" i="3" s="1"/>
  <c r="F76" i="3"/>
  <c r="G76" i="3" s="1"/>
  <c r="T28" i="3"/>
  <c r="T29" i="3" s="1"/>
  <c r="O30" i="3"/>
  <c r="N31" i="3"/>
  <c r="N32" i="3" s="1"/>
  <c r="N33" i="3" s="1"/>
  <c r="N34" i="3" s="1"/>
  <c r="N35" i="3" s="1"/>
  <c r="F45" i="3"/>
  <c r="G45" i="3" s="1"/>
  <c r="AM12" i="2"/>
  <c r="AL13" i="2"/>
  <c r="AM13" i="2" s="1"/>
  <c r="E23" i="2"/>
  <c r="AG9" i="2"/>
  <c r="X7" i="2"/>
  <c r="Y6" i="2"/>
  <c r="L7" i="2"/>
  <c r="L8" i="2" s="1"/>
  <c r="L9" i="2" s="1"/>
  <c r="L10" i="2" s="1"/>
  <c r="L11" i="2" s="1"/>
  <c r="L12" i="2" s="1"/>
  <c r="R7" i="2"/>
  <c r="S6" i="2"/>
  <c r="E16" i="2"/>
  <c r="E10" i="2"/>
  <c r="E9" i="2"/>
  <c r="E8" i="2"/>
  <c r="CP18" i="3" l="1"/>
  <c r="CP22" i="3" s="1"/>
  <c r="CP9" i="3"/>
  <c r="H4" i="4"/>
  <c r="S4" i="4" s="1"/>
  <c r="DR10" i="3"/>
  <c r="DR17" i="3" s="1"/>
  <c r="CP49" i="3"/>
  <c r="CP53" i="3" s="1"/>
  <c r="J9" i="5"/>
  <c r="BN40" i="3"/>
  <c r="H9" i="5"/>
  <c r="AL9" i="3"/>
  <c r="F5" i="5"/>
  <c r="AL40" i="3"/>
  <c r="F9" i="5"/>
  <c r="J40" i="3"/>
  <c r="J27" i="3" s="1"/>
  <c r="F70" i="1" s="1"/>
  <c r="D9" i="5"/>
  <c r="R61" i="3"/>
  <c r="E11" i="5"/>
  <c r="DD65" i="3"/>
  <c r="DJ61" i="3" s="1"/>
  <c r="K11" i="5"/>
  <c r="AZ34" i="3"/>
  <c r="BF30" i="3" s="1"/>
  <c r="G7" i="5"/>
  <c r="AL49" i="3"/>
  <c r="AL53" i="3" s="1"/>
  <c r="AT30" i="3"/>
  <c r="CP40" i="3"/>
  <c r="BN49" i="3"/>
  <c r="BN53" i="3" s="1"/>
  <c r="DR40" i="3"/>
  <c r="DR49" i="3"/>
  <c r="DR53" i="3" s="1"/>
  <c r="CX30" i="3"/>
  <c r="DD34" i="3"/>
  <c r="DJ30" i="3" s="1"/>
  <c r="CB34" i="3"/>
  <c r="CH30" i="3" s="1"/>
  <c r="BV30" i="3"/>
  <c r="CX61" i="3"/>
  <c r="CB65" i="3"/>
  <c r="CH61" i="3" s="1"/>
  <c r="BV61" i="3"/>
  <c r="DO76" i="3"/>
  <c r="AL18" i="3"/>
  <c r="AL22" i="3" s="1"/>
  <c r="BX61" i="3"/>
  <c r="BX62" i="3" s="1"/>
  <c r="BB59" i="3"/>
  <c r="BB60" i="3" s="1"/>
  <c r="BC60" i="3" s="1"/>
  <c r="X65" i="3"/>
  <c r="AD61" i="3" s="1"/>
  <c r="DN45" i="3"/>
  <c r="DN46" i="3" s="1"/>
  <c r="DN47" i="3" s="1"/>
  <c r="DN48" i="3" s="1"/>
  <c r="DN49" i="3" s="1"/>
  <c r="DN50" i="3" s="1"/>
  <c r="DN51" i="3" s="1"/>
  <c r="DN52" i="3" s="1"/>
  <c r="CL76" i="3"/>
  <c r="CM75" i="3"/>
  <c r="BJ47" i="3"/>
  <c r="BJ48" i="3" s="1"/>
  <c r="BJ49" i="3" s="1"/>
  <c r="BJ50" i="3" s="1"/>
  <c r="BJ51" i="3" s="1"/>
  <c r="BJ52" i="3" s="1"/>
  <c r="BK46" i="3"/>
  <c r="CL46" i="3"/>
  <c r="CM45" i="3"/>
  <c r="AH45" i="3"/>
  <c r="AI44" i="3"/>
  <c r="DN78" i="3"/>
  <c r="DN79" i="3" s="1"/>
  <c r="DN80" i="3" s="1"/>
  <c r="DN81" i="3" s="1"/>
  <c r="DN82" i="3" s="1"/>
  <c r="DN83" i="3" s="1"/>
  <c r="DO77" i="3"/>
  <c r="AH77" i="3"/>
  <c r="AI76" i="3"/>
  <c r="BK76" i="3"/>
  <c r="BJ77" i="3"/>
  <c r="EI58" i="3"/>
  <c r="EJ58" i="3" s="1"/>
  <c r="EK58" i="3" s="1"/>
  <c r="EL58" i="3" s="1"/>
  <c r="EH59" i="3"/>
  <c r="EH60" i="3" s="1"/>
  <c r="EB61" i="3"/>
  <c r="EC60" i="3"/>
  <c r="CZ62" i="3"/>
  <c r="DA61" i="3"/>
  <c r="CU61" i="3"/>
  <c r="CT62" i="3"/>
  <c r="CT63" i="3" s="1"/>
  <c r="CT64" i="3" s="1"/>
  <c r="CT65" i="3" s="1"/>
  <c r="CT66" i="3" s="1"/>
  <c r="DG60" i="3"/>
  <c r="DF61" i="3"/>
  <c r="DG61" i="3" s="1"/>
  <c r="CE60" i="3"/>
  <c r="CD61" i="3"/>
  <c r="CE61" i="3" s="1"/>
  <c r="AV62" i="3"/>
  <c r="AW61" i="3"/>
  <c r="EH28" i="3"/>
  <c r="EH29" i="3" s="1"/>
  <c r="EH30" i="3" s="1"/>
  <c r="EI30" i="3" s="1"/>
  <c r="CL16" i="3"/>
  <c r="CL17" i="3" s="1"/>
  <c r="CL18" i="3" s="1"/>
  <c r="CL19" i="3" s="1"/>
  <c r="CL20" i="3" s="1"/>
  <c r="CL21" i="3" s="1"/>
  <c r="CM15" i="3"/>
  <c r="BK13" i="3"/>
  <c r="BJ14" i="3"/>
  <c r="DN16" i="3"/>
  <c r="DN17" i="3" s="1"/>
  <c r="DN18" i="3" s="1"/>
  <c r="DN19" i="3" s="1"/>
  <c r="DN20" i="3" s="1"/>
  <c r="DN21" i="3" s="1"/>
  <c r="DO15" i="3"/>
  <c r="AW29" i="3"/>
  <c r="AV30" i="3"/>
  <c r="BB28" i="3"/>
  <c r="BB29" i="3" s="1"/>
  <c r="BC27" i="3"/>
  <c r="BD27" i="3" s="1"/>
  <c r="BE27" i="3" s="1"/>
  <c r="BF27" i="3" s="1"/>
  <c r="BX30" i="3"/>
  <c r="BY29" i="3"/>
  <c r="AH16" i="3"/>
  <c r="AH17" i="3" s="1"/>
  <c r="AH18" i="3" s="1"/>
  <c r="AH19" i="3" s="1"/>
  <c r="AH20" i="3" s="1"/>
  <c r="AH21" i="3" s="1"/>
  <c r="AI15" i="3"/>
  <c r="CE27" i="3"/>
  <c r="CF27" i="3" s="1"/>
  <c r="CG27" i="3" s="1"/>
  <c r="CH27" i="3" s="1"/>
  <c r="CD28" i="3"/>
  <c r="CD29" i="3" s="1"/>
  <c r="DA29" i="3"/>
  <c r="CZ30" i="3"/>
  <c r="DG27" i="3"/>
  <c r="DH27" i="3" s="1"/>
  <c r="DI27" i="3" s="1"/>
  <c r="DJ27" i="3" s="1"/>
  <c r="DF28" i="3"/>
  <c r="DF29" i="3" s="1"/>
  <c r="EC30" i="3"/>
  <c r="EB31" i="3"/>
  <c r="J49" i="3"/>
  <c r="J53" i="3" s="1"/>
  <c r="F14" i="3"/>
  <c r="G13" i="3"/>
  <c r="Z59" i="3"/>
  <c r="Z60" i="3" s="1"/>
  <c r="F77" i="3"/>
  <c r="G77" i="3" s="1"/>
  <c r="T61" i="3"/>
  <c r="U60" i="3"/>
  <c r="Z28" i="3"/>
  <c r="Z29" i="3" s="1"/>
  <c r="T30" i="3"/>
  <c r="U29" i="3"/>
  <c r="F46" i="3"/>
  <c r="G46" i="3" s="1"/>
  <c r="AM8" i="2"/>
  <c r="Y7" i="2"/>
  <c r="M7" i="2"/>
  <c r="R8" i="2"/>
  <c r="S7" i="2"/>
  <c r="DR9" i="3" l="1"/>
  <c r="DR18" i="3"/>
  <c r="DR22" i="3" s="1"/>
  <c r="F74" i="1" s="1"/>
  <c r="L5" i="5"/>
  <c r="DR58" i="3"/>
  <c r="F80" i="1" s="1"/>
  <c r="BN27" i="3"/>
  <c r="F72" i="1" s="1"/>
  <c r="AL58" i="3"/>
  <c r="F77" i="1" s="1"/>
  <c r="BN58" i="3"/>
  <c r="F78" i="1" s="1"/>
  <c r="AL27" i="3"/>
  <c r="F71" i="1" s="1"/>
  <c r="CP27" i="3"/>
  <c r="F73" i="1" s="1"/>
  <c r="CP58" i="3"/>
  <c r="F79" i="1" s="1"/>
  <c r="BB61" i="3"/>
  <c r="BC61" i="3" s="1"/>
  <c r="BY61" i="3"/>
  <c r="DO46" i="3"/>
  <c r="J58" i="3"/>
  <c r="DO45" i="3"/>
  <c r="CL77" i="3"/>
  <c r="CM76" i="3"/>
  <c r="DN53" i="3"/>
  <c r="DO53" i="3" s="1"/>
  <c r="DO52" i="3"/>
  <c r="AH78" i="3"/>
  <c r="AH79" i="3" s="1"/>
  <c r="AH80" i="3" s="1"/>
  <c r="AH81" i="3" s="1"/>
  <c r="AH82" i="3" s="1"/>
  <c r="AH83" i="3" s="1"/>
  <c r="AI77" i="3"/>
  <c r="CL47" i="3"/>
  <c r="CL48" i="3" s="1"/>
  <c r="CL49" i="3" s="1"/>
  <c r="CL50" i="3" s="1"/>
  <c r="CL51" i="3" s="1"/>
  <c r="CL52" i="3" s="1"/>
  <c r="CM46" i="3"/>
  <c r="DN84" i="3"/>
  <c r="DO84" i="3" s="1"/>
  <c r="DO83" i="3"/>
  <c r="BJ53" i="3"/>
  <c r="BK53" i="3" s="1"/>
  <c r="BK52" i="3"/>
  <c r="AH46" i="3"/>
  <c r="AI45" i="3"/>
  <c r="BK77" i="3"/>
  <c r="BJ78" i="3"/>
  <c r="BJ79" i="3" s="1"/>
  <c r="BJ80" i="3" s="1"/>
  <c r="BJ81" i="3" s="1"/>
  <c r="BJ82" i="3" s="1"/>
  <c r="BJ83" i="3" s="1"/>
  <c r="EI60" i="3"/>
  <c r="EH61" i="3"/>
  <c r="EI61" i="3" s="1"/>
  <c r="EI29" i="3"/>
  <c r="CZ63" i="3"/>
  <c r="CZ64" i="3" s="1"/>
  <c r="DA62" i="3"/>
  <c r="AW62" i="3"/>
  <c r="AV63" i="3"/>
  <c r="AV64" i="3" s="1"/>
  <c r="BY62" i="3"/>
  <c r="BX63" i="3"/>
  <c r="BX64" i="3" s="1"/>
  <c r="EB62" i="3"/>
  <c r="EC61" i="3"/>
  <c r="CL22" i="3"/>
  <c r="CM22" i="3" s="1"/>
  <c r="CM21" i="3"/>
  <c r="DN22" i="3"/>
  <c r="DO22" i="3" s="1"/>
  <c r="DO21" i="3"/>
  <c r="BJ15" i="3"/>
  <c r="BK14" i="3"/>
  <c r="BX31" i="3"/>
  <c r="BY30" i="3"/>
  <c r="EB32" i="3"/>
  <c r="EB33" i="3" s="1"/>
  <c r="EC31" i="3"/>
  <c r="DA30" i="3"/>
  <c r="CZ31" i="3"/>
  <c r="BC29" i="3"/>
  <c r="BB30" i="3"/>
  <c r="BC30" i="3" s="1"/>
  <c r="AV31" i="3"/>
  <c r="AW30" i="3"/>
  <c r="DF30" i="3"/>
  <c r="DG30" i="3" s="1"/>
  <c r="DG29" i="3"/>
  <c r="CE29" i="3"/>
  <c r="CD30" i="3"/>
  <c r="CE30" i="3" s="1"/>
  <c r="AH22" i="3"/>
  <c r="AI22" i="3" s="1"/>
  <c r="AI21" i="3"/>
  <c r="G14" i="3"/>
  <c r="F15" i="3"/>
  <c r="U61" i="3"/>
  <c r="T62" i="3"/>
  <c r="F78" i="3"/>
  <c r="F79" i="3" s="1"/>
  <c r="F80" i="3" s="1"/>
  <c r="F81" i="3" s="1"/>
  <c r="F82" i="3" s="1"/>
  <c r="F83" i="3" s="1"/>
  <c r="G83" i="3" s="1"/>
  <c r="AA60" i="3"/>
  <c r="Z61" i="3"/>
  <c r="AA61" i="3" s="1"/>
  <c r="AA29" i="3"/>
  <c r="Z30" i="3"/>
  <c r="AA30" i="3" s="1"/>
  <c r="U30" i="3"/>
  <c r="T31" i="3"/>
  <c r="F47" i="3"/>
  <c r="F48" i="3" s="1"/>
  <c r="F49" i="3" s="1"/>
  <c r="F50" i="3" s="1"/>
  <c r="F51" i="3" s="1"/>
  <c r="F52" i="3" s="1"/>
  <c r="G52" i="3" s="1"/>
  <c r="AM9" i="2"/>
  <c r="AS8" i="2"/>
  <c r="R9" i="2"/>
  <c r="R10" i="2" s="1"/>
  <c r="S8" i="2"/>
  <c r="F76" i="1" l="1"/>
  <c r="F83" i="1" s="1"/>
  <c r="CL78" i="3"/>
  <c r="CL79" i="3" s="1"/>
  <c r="CL80" i="3" s="1"/>
  <c r="CL81" i="3" s="1"/>
  <c r="CL82" i="3" s="1"/>
  <c r="CL83" i="3" s="1"/>
  <c r="CM77" i="3"/>
  <c r="AH47" i="3"/>
  <c r="AH48" i="3" s="1"/>
  <c r="AH49" i="3" s="1"/>
  <c r="AH50" i="3" s="1"/>
  <c r="AH51" i="3" s="1"/>
  <c r="AH52" i="3" s="1"/>
  <c r="AI46" i="3"/>
  <c r="AI83" i="3"/>
  <c r="AH84" i="3"/>
  <c r="AI84" i="3" s="1"/>
  <c r="CM52" i="3"/>
  <c r="CL53" i="3"/>
  <c r="CM53" i="3" s="1"/>
  <c r="BJ84" i="3"/>
  <c r="BK84" i="3" s="1"/>
  <c r="BK83" i="3"/>
  <c r="BY64" i="3"/>
  <c r="BX65" i="3"/>
  <c r="AV65" i="3"/>
  <c r="AW64" i="3"/>
  <c r="DA64" i="3"/>
  <c r="CZ65" i="3"/>
  <c r="EB63" i="3"/>
  <c r="EB64" i="3" s="1"/>
  <c r="EC62" i="3"/>
  <c r="BJ16" i="3"/>
  <c r="BJ17" i="3" s="1"/>
  <c r="BJ18" i="3" s="1"/>
  <c r="BJ19" i="3" s="1"/>
  <c r="BJ20" i="3" s="1"/>
  <c r="BJ21" i="3" s="1"/>
  <c r="BK15" i="3"/>
  <c r="EB34" i="3"/>
  <c r="EC33" i="3"/>
  <c r="CZ32" i="3"/>
  <c r="CZ33" i="3" s="1"/>
  <c r="DA31" i="3"/>
  <c r="AV32" i="3"/>
  <c r="AV33" i="3" s="1"/>
  <c r="AW31" i="3"/>
  <c r="BY31" i="3"/>
  <c r="BX32" i="3"/>
  <c r="BX33" i="3" s="1"/>
  <c r="G15" i="3"/>
  <c r="F16" i="3"/>
  <c r="F17" i="3" s="1"/>
  <c r="F18" i="3" s="1"/>
  <c r="F19" i="3" s="1"/>
  <c r="F20" i="3" s="1"/>
  <c r="F21" i="3" s="1"/>
  <c r="F84" i="3"/>
  <c r="G84" i="3" s="1"/>
  <c r="T63" i="3"/>
  <c r="T64" i="3" s="1"/>
  <c r="U62" i="3"/>
  <c r="T32" i="3"/>
  <c r="T33" i="3" s="1"/>
  <c r="U31" i="3"/>
  <c r="F53" i="3"/>
  <c r="G53" i="3" s="1"/>
  <c r="AS9" i="2"/>
  <c r="R11" i="2"/>
  <c r="S10" i="2"/>
  <c r="CL84" i="3" l="1"/>
  <c r="CM84" i="3" s="1"/>
  <c r="CM83" i="3"/>
  <c r="AH53" i="3"/>
  <c r="AI53" i="3" s="1"/>
  <c r="AI52" i="3"/>
  <c r="EC64" i="3"/>
  <c r="EB65" i="3"/>
  <c r="CZ66" i="3"/>
  <c r="DA65" i="3"/>
  <c r="AV66" i="3"/>
  <c r="AW65" i="3"/>
  <c r="BY65" i="3"/>
  <c r="BX66" i="3"/>
  <c r="BJ22" i="3"/>
  <c r="BK22" i="3" s="1"/>
  <c r="BK21" i="3"/>
  <c r="EB35" i="3"/>
  <c r="EC34" i="3"/>
  <c r="CZ34" i="3"/>
  <c r="DA33" i="3"/>
  <c r="AW33" i="3"/>
  <c r="AV34" i="3"/>
  <c r="BX34" i="3"/>
  <c r="BY33" i="3"/>
  <c r="G21" i="3"/>
  <c r="F22" i="3"/>
  <c r="G22" i="3" s="1"/>
  <c r="U64" i="3"/>
  <c r="T65" i="3"/>
  <c r="T34" i="3"/>
  <c r="U33" i="3"/>
  <c r="S11" i="2"/>
  <c r="R12" i="2"/>
  <c r="EB66" i="3" l="1"/>
  <c r="EC65" i="3"/>
  <c r="BY34" i="3"/>
  <c r="BX35" i="3"/>
  <c r="AV35" i="3"/>
  <c r="AW34" i="3"/>
  <c r="DA34" i="3"/>
  <c r="CZ35" i="3"/>
  <c r="T66" i="3"/>
  <c r="U65" i="3"/>
  <c r="U34" i="3"/>
  <c r="T35" i="3"/>
</calcChain>
</file>

<file path=xl/sharedStrings.xml><?xml version="1.0" encoding="utf-8"?>
<sst xmlns="http://schemas.openxmlformats.org/spreadsheetml/2006/main" count="1384" uniqueCount="148">
  <si>
    <t>range x_n</t>
  </si>
  <si>
    <t>range f_n</t>
  </si>
  <si>
    <t>range dx</t>
  </si>
  <si>
    <t>range Ulim_delta_x</t>
  </si>
  <si>
    <t>range delta_x</t>
  </si>
  <si>
    <t>x_n</t>
  </si>
  <si>
    <t>f_n</t>
  </si>
  <si>
    <t>dx</t>
  </si>
  <si>
    <t>Ulim_delta_x</t>
  </si>
  <si>
    <t>delta_x</t>
  </si>
  <si>
    <r>
      <rPr>
        <sz val="10"/>
        <rFont val="游ゴシック"/>
        <family val="3"/>
        <charset val="128"/>
      </rPr>
      <t>----------</t>
    </r>
    <phoneticPr fontId="1"/>
  </si>
  <si>
    <t>sqrt(sum(f_n^2))</t>
    <phoneticPr fontId="1"/>
  </si>
  <si>
    <r>
      <t>[</t>
    </r>
    <r>
      <rPr>
        <sz val="10"/>
        <rFont val="游ゴシック"/>
        <family val="3"/>
        <charset val="128"/>
      </rPr>
      <t>1,2]</t>
    </r>
    <phoneticPr fontId="1"/>
  </si>
  <si>
    <t>[1,1]</t>
    <phoneticPr fontId="1"/>
  </si>
  <si>
    <t>[2,1]</t>
    <phoneticPr fontId="1"/>
  </si>
  <si>
    <t>[2,2]</t>
    <phoneticPr fontId="1"/>
  </si>
  <si>
    <r>
      <t>r</t>
    </r>
    <r>
      <rPr>
        <sz val="10"/>
        <rFont val="游ゴシック"/>
        <family val="3"/>
        <charset val="128"/>
      </rPr>
      <t>ange Jacobian</t>
    </r>
    <phoneticPr fontId="1"/>
  </si>
  <si>
    <r>
      <t>r</t>
    </r>
    <r>
      <rPr>
        <sz val="10"/>
        <rFont val="游ゴシック"/>
        <family val="3"/>
        <charset val="128"/>
      </rPr>
      <t>ange delta_f</t>
    </r>
    <phoneticPr fontId="1"/>
  </si>
  <si>
    <t>delta_f</t>
    <phoneticPr fontId="1"/>
  </si>
  <si>
    <r>
      <t>r</t>
    </r>
    <r>
      <rPr>
        <sz val="10"/>
        <rFont val="游ゴシック"/>
        <family val="3"/>
        <charset val="128"/>
      </rPr>
      <t>ange_flags</t>
    </r>
    <phoneticPr fontId="1"/>
  </si>
  <si>
    <t>flag_invertible</t>
    <phoneticPr fontId="1"/>
  </si>
  <si>
    <t>flags</t>
    <phoneticPr fontId="1"/>
  </si>
  <si>
    <t>Jacobian</t>
    <phoneticPr fontId="1"/>
  </si>
  <si>
    <r>
      <t>r</t>
    </r>
    <r>
      <rPr>
        <sz val="10"/>
        <rFont val="游ゴシック"/>
        <family val="3"/>
        <charset val="128"/>
      </rPr>
      <t>anges</t>
    </r>
    <phoneticPr fontId="1"/>
  </si>
  <si>
    <r>
      <t>[</t>
    </r>
    <r>
      <rPr>
        <sz val="10"/>
        <rFont val="游ゴシック"/>
        <family val="3"/>
        <charset val="128"/>
      </rPr>
      <t>1]</t>
    </r>
    <phoneticPr fontId="1"/>
  </si>
  <si>
    <t>[2]</t>
    <phoneticPr fontId="1"/>
  </si>
  <si>
    <t>[1]</t>
    <phoneticPr fontId="1"/>
  </si>
  <si>
    <r>
      <t>r</t>
    </r>
    <r>
      <rPr>
        <sz val="10"/>
        <rFont val="游ゴシック"/>
        <family val="3"/>
        <charset val="128"/>
      </rPr>
      <t>ange switches</t>
    </r>
    <phoneticPr fontId="1"/>
  </si>
  <si>
    <t>switches</t>
    <phoneticPr fontId="1"/>
  </si>
  <si>
    <t>calc scope</t>
    <phoneticPr fontId="1"/>
  </si>
  <si>
    <t>method</t>
    <phoneticPr fontId="1"/>
  </si>
  <si>
    <t>Newton</t>
    <phoneticPr fontId="1"/>
  </si>
  <si>
    <t>ThisSheet</t>
    <phoneticPr fontId="1"/>
  </si>
  <si>
    <t>exec/not</t>
    <phoneticPr fontId="1"/>
  </si>
  <si>
    <t>NotUnderExec</t>
    <phoneticPr fontId="1"/>
  </si>
  <si>
    <t>flag_underExec</t>
    <phoneticPr fontId="1"/>
  </si>
  <si>
    <t>invertible</t>
    <phoneticPr fontId="1"/>
  </si>
  <si>
    <t>exec</t>
    <phoneticPr fontId="1"/>
  </si>
  <si>
    <t>range x_prev</t>
    <phoneticPr fontId="1"/>
  </si>
  <si>
    <t>range f_prev</t>
    <phoneticPr fontId="1"/>
  </si>
  <si>
    <t>x_prev</t>
    <phoneticPr fontId="1"/>
  </si>
  <si>
    <t>f_prev</t>
    <phoneticPr fontId="1"/>
  </si>
  <si>
    <t>|</t>
    <phoneticPr fontId="1"/>
  </si>
  <si>
    <t>sample: simple 2-roots non-linear equations</t>
    <phoneticPr fontId="1"/>
  </si>
  <si>
    <t>---↑add/redmove cells----------</t>
    <phoneticPr fontId="1"/>
  </si>
  <si>
    <r>
      <t>i</t>
    </r>
    <r>
      <rPr>
        <sz val="10"/>
        <rFont val="游ゴシック"/>
        <family val="3"/>
        <charset val="128"/>
      </rPr>
      <t>nput</t>
    </r>
    <phoneticPr fontId="1"/>
  </si>
  <si>
    <t>sample: fluid flow network</t>
    <phoneticPr fontId="1"/>
  </si>
  <si>
    <r>
      <t>i</t>
    </r>
    <r>
      <rPr>
        <sz val="10"/>
        <rFont val="游ゴシック"/>
        <family val="3"/>
        <charset val="128"/>
      </rPr>
      <t>ndependent</t>
    </r>
    <phoneticPr fontId="1"/>
  </si>
  <si>
    <r>
      <t>d</t>
    </r>
    <r>
      <rPr>
        <sz val="10"/>
        <rFont val="游ゴシック"/>
        <family val="3"/>
        <charset val="128"/>
      </rPr>
      <t>ependent</t>
    </r>
    <phoneticPr fontId="1"/>
  </si>
  <si>
    <r>
      <t>C</t>
    </r>
    <r>
      <rPr>
        <sz val="10"/>
        <rFont val="游ゴシック"/>
        <family val="3"/>
        <charset val="128"/>
      </rPr>
      <t>onduction</t>
    </r>
    <phoneticPr fontId="1"/>
  </si>
  <si>
    <t>A[m2]</t>
  </si>
  <si>
    <t>A[m2]</t>
    <phoneticPr fontId="1"/>
  </si>
  <si>
    <t>th[m]</t>
  </si>
  <si>
    <t>th[m]</t>
    <phoneticPr fontId="1"/>
  </si>
  <si>
    <t>rambda[W/(m*K)]</t>
  </si>
  <si>
    <t>rambda[W/(m*K)]</t>
    <phoneticPr fontId="1"/>
  </si>
  <si>
    <t>Q12[W]</t>
  </si>
  <si>
    <t>Q12[W]</t>
    <phoneticPr fontId="1"/>
  </si>
  <si>
    <t>T1[K]</t>
    <phoneticPr fontId="1"/>
  </si>
  <si>
    <t>T2[K]</t>
    <phoneticPr fontId="1"/>
  </si>
  <si>
    <t>Q21[W]</t>
    <phoneticPr fontId="1"/>
  </si>
  <si>
    <t>Q2in[W]</t>
    <phoneticPr fontId="1"/>
  </si>
  <si>
    <t>Q1in[W]</t>
    <phoneticPr fontId="1"/>
  </si>
  <si>
    <r>
      <t>T</t>
    </r>
    <r>
      <rPr>
        <sz val="10"/>
        <rFont val="游ゴシック"/>
        <family val="3"/>
        <charset val="128"/>
      </rPr>
      <t>1[K]</t>
    </r>
    <phoneticPr fontId="1"/>
  </si>
  <si>
    <t>Q21[W]</t>
  </si>
  <si>
    <t>sumQ[W]</t>
    <phoneticPr fontId="1"/>
  </si>
  <si>
    <t>SSNode4ports</t>
    <phoneticPr fontId="1"/>
  </si>
  <si>
    <t>T[K]</t>
    <phoneticPr fontId="1"/>
  </si>
  <si>
    <r>
      <t>s</t>
    </r>
    <r>
      <rPr>
        <sz val="10"/>
        <rFont val="游ゴシック"/>
        <family val="3"/>
        <charset val="128"/>
      </rPr>
      <t>umQ</t>
    </r>
    <r>
      <rPr>
        <sz val="10"/>
        <rFont val="游ゴシック"/>
        <family val="3"/>
        <charset val="128"/>
      </rPr>
      <t>[m]</t>
    </r>
    <phoneticPr fontId="1"/>
  </si>
  <si>
    <t>_</t>
    <phoneticPr fontId="1"/>
  </si>
  <si>
    <t>NodeSS</t>
    <phoneticPr fontId="1"/>
  </si>
  <si>
    <t>T3[K]</t>
    <phoneticPr fontId="1"/>
  </si>
  <si>
    <t>Q3in[W]</t>
    <phoneticPr fontId="1"/>
  </si>
  <si>
    <t>T4[K]</t>
    <phoneticPr fontId="1"/>
  </si>
  <si>
    <t>Q4in[W]</t>
    <phoneticPr fontId="1"/>
  </si>
  <si>
    <t>BoundaryCondition_temperature</t>
    <phoneticPr fontId="1"/>
  </si>
  <si>
    <t>BoundaryCondition_heat</t>
    <phoneticPr fontId="1"/>
  </si>
  <si>
    <t>Q[W]</t>
    <phoneticPr fontId="1"/>
  </si>
  <si>
    <t>NodeSS[1][1]</t>
    <phoneticPr fontId="1"/>
  </si>
  <si>
    <t>NodeSS[1][2]</t>
    <phoneticPr fontId="1"/>
  </si>
  <si>
    <t>Conduction_longi[1][1]</t>
    <phoneticPr fontId="1"/>
  </si>
  <si>
    <t>Conduction_longi[2][1]</t>
    <phoneticPr fontId="1"/>
  </si>
  <si>
    <t>Conduction_longi[3][1]</t>
    <phoneticPr fontId="1"/>
  </si>
  <si>
    <t>Conduction_lat[1][1]</t>
    <phoneticPr fontId="1"/>
  </si>
  <si>
    <t>Conduction_lat[2][1]</t>
    <phoneticPr fontId="1"/>
  </si>
  <si>
    <t>NodeSS[2][1]</t>
    <phoneticPr fontId="1"/>
  </si>
  <si>
    <t>solver</t>
    <phoneticPr fontId="1"/>
  </si>
  <si>
    <t>input</t>
  </si>
  <si>
    <t>input</t>
    <phoneticPr fontId="1"/>
  </si>
  <si>
    <t>output</t>
  </si>
  <si>
    <t>soutputlver</t>
  </si>
  <si>
    <t>outpututput</t>
  </si>
  <si>
    <t>not</t>
    <phoneticPr fontId="1"/>
  </si>
  <si>
    <t>EntireBook</t>
    <phoneticPr fontId="1"/>
  </si>
  <si>
    <t>1,1</t>
    <phoneticPr fontId="1"/>
  </si>
  <si>
    <t>1,2</t>
    <phoneticPr fontId="1"/>
  </si>
  <si>
    <t>1,3</t>
    <phoneticPr fontId="1"/>
  </si>
  <si>
    <t>2,1</t>
    <phoneticPr fontId="1"/>
  </si>
  <si>
    <t>2,2</t>
    <phoneticPr fontId="1"/>
  </si>
  <si>
    <t>2,3</t>
    <phoneticPr fontId="1"/>
  </si>
  <si>
    <t>3,1</t>
    <phoneticPr fontId="1"/>
  </si>
  <si>
    <t>3,2</t>
    <phoneticPr fontId="1"/>
  </si>
  <si>
    <t>3,3</t>
    <phoneticPr fontId="1"/>
  </si>
  <si>
    <t>Temperature[K]</t>
    <phoneticPr fontId="1"/>
  </si>
  <si>
    <t>Temperature[degC]</t>
    <phoneticPr fontId="1"/>
  </si>
  <si>
    <t>Conduction_lat[1][2]</t>
    <phoneticPr fontId="1"/>
  </si>
  <si>
    <t>NodeSS[1][3]</t>
    <phoneticPr fontId="1"/>
  </si>
  <si>
    <t>Conduction_lat[1][3]</t>
    <phoneticPr fontId="1"/>
  </si>
  <si>
    <t>NodeSS[1][4]</t>
    <phoneticPr fontId="1"/>
  </si>
  <si>
    <t>Conduction_lat[1][4]</t>
    <phoneticPr fontId="1"/>
  </si>
  <si>
    <t>NodeSS[1][5]</t>
    <phoneticPr fontId="1"/>
  </si>
  <si>
    <t>Conduction_lat[1][5]</t>
    <phoneticPr fontId="1"/>
  </si>
  <si>
    <t>NodeSS[1][6]</t>
    <phoneticPr fontId="1"/>
  </si>
  <si>
    <t>Conduction_longi[1][2]</t>
    <phoneticPr fontId="1"/>
  </si>
  <si>
    <t>Conduction_longi[1][4]</t>
    <phoneticPr fontId="1"/>
  </si>
  <si>
    <t>Conduction_longi[1][3]</t>
    <phoneticPr fontId="1"/>
  </si>
  <si>
    <t>Conduction_longi[1][5]</t>
    <phoneticPr fontId="1"/>
  </si>
  <si>
    <t>BoundaryCondition_temperature[1][1]</t>
    <phoneticPr fontId="1"/>
  </si>
  <si>
    <t>BoundaryCondition_temperature[1][2]</t>
    <phoneticPr fontId="1"/>
  </si>
  <si>
    <t>BoundaryCondition_temperature[1][3]</t>
    <phoneticPr fontId="1"/>
  </si>
  <si>
    <t>BoundaryCondition_temperature[1][4]</t>
    <phoneticPr fontId="1"/>
  </si>
  <si>
    <t>BoundaryCondition_temperature[1][5]</t>
    <phoneticPr fontId="1"/>
  </si>
  <si>
    <t>BoundaryCondition_heat[1][1]</t>
    <phoneticPr fontId="1"/>
  </si>
  <si>
    <t>NodeSS[2][2]</t>
    <phoneticPr fontId="1"/>
  </si>
  <si>
    <t>Conduction_lat[2][2]</t>
    <phoneticPr fontId="1"/>
  </si>
  <si>
    <t>NodeSS[2][3]</t>
    <phoneticPr fontId="1"/>
  </si>
  <si>
    <t>Conduction_lat[2][3]</t>
    <phoneticPr fontId="1"/>
  </si>
  <si>
    <t>NodeSS[2][4]</t>
    <phoneticPr fontId="1"/>
  </si>
  <si>
    <t>Conduction_lat[2][4]</t>
    <phoneticPr fontId="1"/>
  </si>
  <si>
    <t>NodeSS[2][5]</t>
    <phoneticPr fontId="1"/>
  </si>
  <si>
    <t>Conduction_lat[2][5]</t>
    <phoneticPr fontId="1"/>
  </si>
  <si>
    <t>NodeSS[2][6]</t>
    <phoneticPr fontId="1"/>
  </si>
  <si>
    <t>Conduction_longi[2][2]</t>
    <phoneticPr fontId="1"/>
  </si>
  <si>
    <t>Conduction_longi[2][3]</t>
    <phoneticPr fontId="1"/>
  </si>
  <si>
    <t>Conduction_longi[2][4]</t>
    <phoneticPr fontId="1"/>
  </si>
  <si>
    <t>Conduction_longi[2][5]</t>
    <phoneticPr fontId="1"/>
  </si>
  <si>
    <t>Conduction_longi[3][2]</t>
    <phoneticPr fontId="1"/>
  </si>
  <si>
    <t>Conduction_longi[3][3]</t>
    <phoneticPr fontId="1"/>
  </si>
  <si>
    <t>Conduction_longi[3][4]</t>
    <phoneticPr fontId="1"/>
  </si>
  <si>
    <t>Conduction_longi[3][5]</t>
    <phoneticPr fontId="1"/>
  </si>
  <si>
    <t>BoundaryCondition_heat[2][1]</t>
    <phoneticPr fontId="1"/>
  </si>
  <si>
    <t>BoundaryCondition_temperature[4][1]</t>
    <phoneticPr fontId="1"/>
  </si>
  <si>
    <t>BoundaryCondition_temperature[4][2]</t>
    <phoneticPr fontId="1"/>
  </si>
  <si>
    <t>BoundaryCondition_temperature[4][3]</t>
    <phoneticPr fontId="1"/>
  </si>
  <si>
    <t>BoundaryCondition_temperature[4][4]</t>
    <phoneticPr fontId="1"/>
  </si>
  <si>
    <t>BoundaryCondition_temperature[4][5]</t>
    <phoneticPr fontId="1"/>
  </si>
  <si>
    <r>
      <t>H</t>
    </r>
    <r>
      <rPr>
        <sz val="10"/>
        <rFont val="游ゴシック"/>
        <family val="3"/>
        <charset val="128"/>
      </rPr>
      <t>eatFlow [W]</t>
    </r>
    <phoneticPr fontId="1"/>
  </si>
  <si>
    <t>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</si>
</sst>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"/>
    <numFmt numFmtId="177" formatCode="0.0.E+00"/>
    <numFmt numFmtId="178" formatCode="0.0E+00"/>
    <numFmt numFmtId="179" formatCode="0.000"/>
    <numFmt numFmtId="180" formatCode="0.000000"/>
    <numFmt numFmtId="181" formatCode="0.0"/>
    <numFmt numFmtId="182" formatCode="0.00.E+00"/>
  </numFmts>
  <fonts count="4" x14ac:knownFonts="1">
    <font>
      <sz val="10"/>
      <name val="游ゴシック"/>
      <charset val="128"/>
    </font>
    <font>
      <sz val="6"/>
      <name val="游ゴシック"/>
      <family val="3"/>
      <charset val="128"/>
    </font>
    <font>
      <sz val="10"/>
      <name val="游ゴシック"/>
      <family val="3"/>
      <charset val="128"/>
    </font>
    <font>
      <sz val="10"/>
      <color theme="0" tint="-0.249977111117893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Fill="1"/>
    <xf numFmtId="0" fontId="2" fillId="0" borderId="0" xfId="0" applyFont="1" applyFill="1"/>
    <xf numFmtId="0" fontId="2" fillId="0" borderId="0" xfId="0" quotePrefix="1" applyFont="1" applyFill="1"/>
    <xf numFmtId="180" fontId="0" fillId="0" borderId="0" xfId="0" applyNumberFormat="1" applyFill="1"/>
    <xf numFmtId="0" fontId="0" fillId="0" borderId="0" xfId="0" applyFont="1" applyFill="1"/>
    <xf numFmtId="176" fontId="0" fillId="0" borderId="0" xfId="0" applyNumberFormat="1" applyFill="1"/>
    <xf numFmtId="176" fontId="0" fillId="0" borderId="0" xfId="0" applyNumberFormat="1" applyFont="1" applyFill="1"/>
    <xf numFmtId="178" fontId="0" fillId="0" borderId="0" xfId="0" applyNumberFormat="1" applyFill="1"/>
    <xf numFmtId="177" fontId="2" fillId="0" borderId="0" xfId="0" quotePrefix="1" applyNumberFormat="1" applyFont="1" applyFill="1"/>
    <xf numFmtId="177" fontId="0" fillId="0" borderId="0" xfId="0" applyNumberFormat="1" applyFill="1"/>
    <xf numFmtId="179" fontId="0" fillId="0" borderId="0" xfId="0" applyNumberFormat="1" applyFill="1"/>
    <xf numFmtId="0" fontId="2" fillId="0" borderId="1" xfId="0" applyFont="1" applyBorder="1"/>
    <xf numFmtId="0" fontId="2" fillId="0" borderId="2" xfId="0" applyFont="1" applyBorder="1"/>
    <xf numFmtId="0" fontId="0" fillId="0" borderId="2" xfId="0" applyBorder="1"/>
    <xf numFmtId="0" fontId="2" fillId="0" borderId="0" xfId="0" applyFont="1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12" xfId="0" applyFont="1" applyBorder="1"/>
    <xf numFmtId="0" fontId="0" fillId="0" borderId="13" xfId="0" applyBorder="1"/>
    <xf numFmtId="0" fontId="0" fillId="0" borderId="12" xfId="0" applyBorder="1"/>
    <xf numFmtId="0" fontId="2" fillId="0" borderId="14" xfId="0" applyFont="1" applyBorder="1"/>
    <xf numFmtId="0" fontId="2" fillId="0" borderId="15" xfId="0" applyFont="1" applyBorder="1"/>
    <xf numFmtId="0" fontId="0" fillId="0" borderId="16" xfId="0" applyBorder="1"/>
    <xf numFmtId="0" fontId="0" fillId="3" borderId="0" xfId="0" applyFill="1" applyBorder="1"/>
    <xf numFmtId="0" fontId="0" fillId="0" borderId="0" xfId="0" applyFill="1" applyBorder="1"/>
    <xf numFmtId="0" fontId="3" fillId="0" borderId="4" xfId="0" applyFont="1" applyBorder="1"/>
    <xf numFmtId="0" fontId="3" fillId="0" borderId="0" xfId="0" applyFont="1" applyBorder="1"/>
    <xf numFmtId="0" fontId="0" fillId="0" borderId="14" xfId="0" applyBorder="1"/>
    <xf numFmtId="0" fontId="0" fillId="0" borderId="15" xfId="0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6" xfId="0" applyFont="1" applyBorder="1"/>
    <xf numFmtId="0" fontId="3" fillId="0" borderId="3" xfId="0" applyFont="1" applyBorder="1"/>
    <xf numFmtId="0" fontId="3" fillId="0" borderId="8" xfId="0" applyFont="1" applyBorder="1"/>
    <xf numFmtId="0" fontId="2" fillId="0" borderId="7" xfId="0" applyFont="1" applyBorder="1"/>
    <xf numFmtId="0" fontId="0" fillId="4" borderId="13" xfId="0" applyFill="1" applyBorder="1"/>
    <xf numFmtId="0" fontId="0" fillId="4" borderId="0" xfId="0" applyFill="1" applyBorder="1"/>
    <xf numFmtId="0" fontId="0" fillId="4" borderId="11" xfId="0" applyFill="1" applyBorder="1"/>
    <xf numFmtId="0" fontId="2" fillId="3" borderId="0" xfId="0" applyFont="1" applyFill="1" applyBorder="1"/>
    <xf numFmtId="0" fontId="0" fillId="2" borderId="0" xfId="0" applyFill="1" applyBorder="1"/>
    <xf numFmtId="0" fontId="0" fillId="2" borderId="13" xfId="0" applyFill="1" applyBorder="1"/>
    <xf numFmtId="1" fontId="0" fillId="0" borderId="0" xfId="0" applyNumberFormat="1"/>
    <xf numFmtId="0" fontId="2" fillId="0" borderId="0" xfId="0" applyFont="1"/>
    <xf numFmtId="181" fontId="0" fillId="2" borderId="0" xfId="0" applyNumberFormat="1" applyFill="1"/>
    <xf numFmtId="181" fontId="0" fillId="2" borderId="0" xfId="0" applyNumberFormat="1" applyFont="1" applyFill="1"/>
    <xf numFmtId="11" fontId="0" fillId="3" borderId="0" xfId="0" applyNumberFormat="1" applyFill="1"/>
    <xf numFmtId="182" fontId="2" fillId="0" borderId="0" xfId="0" quotePrefix="1" applyNumberFormat="1" applyFont="1" applyFill="1"/>
    <xf numFmtId="1" fontId="2" fillId="0" borderId="0" xfId="0" applyNumberFormat="1" applyFont="1" applyAlignment="1">
      <alignment horizontal="center" vertical="top"/>
    </xf>
    <xf numFmtId="181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43541</xdr:colOff>
      <xdr:row>8</xdr:row>
      <xdr:rowOff>66677</xdr:rowOff>
    </xdr:from>
    <xdr:to>
      <xdr:col>8</xdr:col>
      <xdr:colOff>129266</xdr:colOff>
      <xdr:row>21</xdr:row>
      <xdr:rowOff>161926</xdr:rowOff>
    </xdr:to>
    <xdr:sp macro="" textlink="">
      <xdr:nvSpPr>
        <xdr:cNvPr id="2" name="フリーフォーム: 図形 1">
          <a:extLst>
            <a:ext uri="{FF2B5EF4-FFF2-40B4-BE49-F238E27FC236}">
              <a16:creationId xmlns:a16="http://schemas.microsoft.com/office/drawing/2014/main" id="{FB08E6C9-E803-4ADF-8EA7-D4141339B347}"/>
            </a:ext>
          </a:extLst>
        </xdr:cNvPr>
        <xdr:cNvSpPr/>
      </xdr:nvSpPr>
      <xdr:spPr>
        <a:xfrm rot="5400000">
          <a:off x="2365601" y="2765653"/>
          <a:ext cx="2748641" cy="69804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188105</xdr:colOff>
      <xdr:row>26</xdr:row>
      <xdr:rowOff>6221</xdr:rowOff>
    </xdr:from>
    <xdr:to>
      <xdr:col>8</xdr:col>
      <xdr:colOff>274970</xdr:colOff>
      <xdr:row>28</xdr:row>
      <xdr:rowOff>37324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B31D225C-0A93-414D-BBF5-D8DA55D93F69}"/>
            </a:ext>
          </a:extLst>
        </xdr:cNvPr>
        <xdr:cNvSpPr/>
      </xdr:nvSpPr>
      <xdr:spPr>
        <a:xfrm>
          <a:off x="3821212" y="5381042"/>
          <a:ext cx="413437" cy="452925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131394</xdr:colOff>
      <xdr:row>21</xdr:row>
      <xdr:rowOff>161926</xdr:rowOff>
    </xdr:from>
    <xdr:to>
      <xdr:col>8</xdr:col>
      <xdr:colOff>68252</xdr:colOff>
      <xdr:row>26</xdr:row>
      <xdr:rowOff>6221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DFEA81C7-C15D-4103-B3AB-2C880846F656}"/>
            </a:ext>
          </a:extLst>
        </xdr:cNvPr>
        <xdr:cNvCxnSpPr>
          <a:stCxn id="2" idx="9"/>
          <a:endCxn id="3" idx="0"/>
        </xdr:cNvCxnSpPr>
      </xdr:nvCxnSpPr>
      <xdr:spPr>
        <a:xfrm>
          <a:off x="3764501" y="4488997"/>
          <a:ext cx="263430" cy="89204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152397</xdr:colOff>
      <xdr:row>38</xdr:row>
      <xdr:rowOff>133353</xdr:rowOff>
    </xdr:from>
    <xdr:to>
      <xdr:col>8</xdr:col>
      <xdr:colOff>238122</xdr:colOff>
      <xdr:row>53</xdr:row>
      <xdr:rowOff>95250</xdr:rowOff>
    </xdr:to>
    <xdr:sp macro="" textlink="">
      <xdr:nvSpPr>
        <xdr:cNvPr id="8" name="フリーフォーム: 図形 7">
          <a:extLst>
            <a:ext uri="{FF2B5EF4-FFF2-40B4-BE49-F238E27FC236}">
              <a16:creationId xmlns:a16="http://schemas.microsoft.com/office/drawing/2014/main" id="{22A6C5E7-B613-4194-9A2C-A9048D620570}"/>
            </a:ext>
          </a:extLst>
        </xdr:cNvPr>
        <xdr:cNvSpPr/>
      </xdr:nvSpPr>
      <xdr:spPr>
        <a:xfrm rot="5400000">
          <a:off x="2471736" y="2938464"/>
          <a:ext cx="3105147" cy="866775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181261</xdr:colOff>
      <xdr:row>28</xdr:row>
      <xdr:rowOff>37324</xdr:rowOff>
    </xdr:from>
    <xdr:to>
      <xdr:col>8</xdr:col>
      <xdr:colOff>68252</xdr:colOff>
      <xdr:row>38</xdr:row>
      <xdr:rowOff>133353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152BCF9B-6C26-4909-A8AC-F65777D1E1E5}"/>
            </a:ext>
          </a:extLst>
        </xdr:cNvPr>
        <xdr:cNvCxnSpPr>
          <a:stCxn id="3" idx="4"/>
          <a:endCxn id="8" idx="0"/>
        </xdr:cNvCxnSpPr>
      </xdr:nvCxnSpPr>
      <xdr:spPr>
        <a:xfrm flipH="1">
          <a:off x="3814368" y="5833967"/>
          <a:ext cx="213563" cy="197381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165005</xdr:colOff>
      <xdr:row>25</xdr:row>
      <xdr:rowOff>147639</xdr:rowOff>
    </xdr:from>
    <xdr:to>
      <xdr:col>30</xdr:col>
      <xdr:colOff>55469</xdr:colOff>
      <xdr:row>28</xdr:row>
      <xdr:rowOff>78441</xdr:rowOff>
    </xdr:to>
    <xdr:sp macro="" textlink="">
      <xdr:nvSpPr>
        <xdr:cNvPr id="14" name="フリーフォーム: 図形 13">
          <a:extLst>
            <a:ext uri="{FF2B5EF4-FFF2-40B4-BE49-F238E27FC236}">
              <a16:creationId xmlns:a16="http://schemas.microsoft.com/office/drawing/2014/main" id="{86432B87-FB1B-4DC8-B2C6-20761222F04A}"/>
            </a:ext>
          </a:extLst>
        </xdr:cNvPr>
        <xdr:cNvSpPr/>
      </xdr:nvSpPr>
      <xdr:spPr>
        <a:xfrm>
          <a:off x="6978181" y="5716963"/>
          <a:ext cx="5202053" cy="56953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100050</xdr:colOff>
      <xdr:row>57</xdr:row>
      <xdr:rowOff>60029</xdr:rowOff>
    </xdr:from>
    <xdr:to>
      <xdr:col>8</xdr:col>
      <xdr:colOff>220533</xdr:colOff>
      <xdr:row>59</xdr:row>
      <xdr:rowOff>92370</xdr:rowOff>
    </xdr:to>
    <xdr:sp macro="" textlink="">
      <xdr:nvSpPr>
        <xdr:cNvPr id="15" name="楕円 14">
          <a:extLst>
            <a:ext uri="{FF2B5EF4-FFF2-40B4-BE49-F238E27FC236}">
              <a16:creationId xmlns:a16="http://schemas.microsoft.com/office/drawing/2014/main" id="{CA47D733-09F7-4248-87E0-86F06540B48E}"/>
            </a:ext>
          </a:extLst>
        </xdr:cNvPr>
        <xdr:cNvSpPr/>
      </xdr:nvSpPr>
      <xdr:spPr>
        <a:xfrm>
          <a:off x="3733157" y="11639708"/>
          <a:ext cx="447055" cy="440555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274970</xdr:colOff>
      <xdr:row>27</xdr:row>
      <xdr:rowOff>28576</xdr:rowOff>
    </xdr:from>
    <xdr:to>
      <xdr:col>13</xdr:col>
      <xdr:colOff>165005</xdr:colOff>
      <xdr:row>27</xdr:row>
      <xdr:rowOff>45234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06187BF3-A526-423D-AC97-8D0E7CE1FD56}"/>
            </a:ext>
          </a:extLst>
        </xdr:cNvPr>
        <xdr:cNvCxnSpPr>
          <a:stCxn id="14" idx="0"/>
          <a:endCxn id="3" idx="6"/>
        </xdr:cNvCxnSpPr>
      </xdr:nvCxnSpPr>
      <xdr:spPr>
        <a:xfrm flipH="1" flipV="1">
          <a:off x="4234649" y="5607505"/>
          <a:ext cx="1754213" cy="1665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240251</xdr:colOff>
      <xdr:row>53</xdr:row>
      <xdr:rowOff>95250</xdr:rowOff>
    </xdr:from>
    <xdr:to>
      <xdr:col>7</xdr:col>
      <xdr:colOff>323578</xdr:colOff>
      <xdr:row>57</xdr:row>
      <xdr:rowOff>60029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7801C578-3BC9-4C01-84DE-BF8148795DDE}"/>
            </a:ext>
          </a:extLst>
        </xdr:cNvPr>
        <xdr:cNvCxnSpPr>
          <a:stCxn id="8" idx="9"/>
          <a:endCxn id="15" idx="0"/>
        </xdr:cNvCxnSpPr>
      </xdr:nvCxnSpPr>
      <xdr:spPr>
        <a:xfrm>
          <a:off x="3873358" y="10831286"/>
          <a:ext cx="83327" cy="8084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136812</xdr:colOff>
      <xdr:row>2</xdr:row>
      <xdr:rowOff>180069</xdr:rowOff>
    </xdr:from>
    <xdr:to>
      <xdr:col>8</xdr:col>
      <xdr:colOff>53686</xdr:colOff>
      <xdr:row>4</xdr:row>
      <xdr:rowOff>115204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8C34C47D-E439-4179-B01A-4D9C72853CE9}"/>
            </a:ext>
          </a:extLst>
        </xdr:cNvPr>
        <xdr:cNvSpPr txBox="1"/>
      </xdr:nvSpPr>
      <xdr:spPr>
        <a:xfrm>
          <a:off x="2137062" y="5695044"/>
          <a:ext cx="450274" cy="354235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7</xdr:col>
      <xdr:colOff>72404</xdr:colOff>
      <xdr:row>4</xdr:row>
      <xdr:rowOff>115204</xdr:rowOff>
    </xdr:from>
    <xdr:to>
      <xdr:col>7</xdr:col>
      <xdr:colOff>115660</xdr:colOff>
      <xdr:row>8</xdr:row>
      <xdr:rowOff>66677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C266CB76-1AF4-43A6-B04A-2349DAE29C02}"/>
            </a:ext>
          </a:extLst>
        </xdr:cNvPr>
        <xdr:cNvCxnSpPr>
          <a:stCxn id="23" idx="2"/>
          <a:endCxn id="2" idx="0"/>
        </xdr:cNvCxnSpPr>
      </xdr:nvCxnSpPr>
      <xdr:spPr>
        <a:xfrm flipH="1">
          <a:off x="3705511" y="945240"/>
          <a:ext cx="43256" cy="795116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136812</xdr:colOff>
      <xdr:row>87</xdr:row>
      <xdr:rowOff>202481</xdr:rowOff>
    </xdr:from>
    <xdr:to>
      <xdr:col>8</xdr:col>
      <xdr:colOff>53686</xdr:colOff>
      <xdr:row>89</xdr:row>
      <xdr:rowOff>137616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48A810E7-F2AB-45BB-B3C0-17EFC2A21890}"/>
            </a:ext>
          </a:extLst>
        </xdr:cNvPr>
        <xdr:cNvSpPr txBox="1"/>
      </xdr:nvSpPr>
      <xdr:spPr>
        <a:xfrm>
          <a:off x="3554606" y="13324569"/>
          <a:ext cx="701286" cy="36095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13</xdr:col>
      <xdr:colOff>165005</xdr:colOff>
      <xdr:row>56</xdr:row>
      <xdr:rowOff>147639</xdr:rowOff>
    </xdr:from>
    <xdr:to>
      <xdr:col>30</xdr:col>
      <xdr:colOff>55469</xdr:colOff>
      <xdr:row>59</xdr:row>
      <xdr:rowOff>78441</xdr:rowOff>
    </xdr:to>
    <xdr:sp macro="" textlink="">
      <xdr:nvSpPr>
        <xdr:cNvPr id="32" name="フリーフォーム: 図形 31">
          <a:extLst>
            <a:ext uri="{FF2B5EF4-FFF2-40B4-BE49-F238E27FC236}">
              <a16:creationId xmlns:a16="http://schemas.microsoft.com/office/drawing/2014/main" id="{7BF81FC3-9A52-49F3-A196-CFF5A215C457}"/>
            </a:ext>
          </a:extLst>
        </xdr:cNvPr>
        <xdr:cNvSpPr/>
      </xdr:nvSpPr>
      <xdr:spPr>
        <a:xfrm>
          <a:off x="5988862" y="11727318"/>
          <a:ext cx="5292500" cy="556730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152397</xdr:colOff>
      <xdr:row>69</xdr:row>
      <xdr:rowOff>133353</xdr:rowOff>
    </xdr:from>
    <xdr:to>
      <xdr:col>8</xdr:col>
      <xdr:colOff>238122</xdr:colOff>
      <xdr:row>84</xdr:row>
      <xdr:rowOff>95250</xdr:rowOff>
    </xdr:to>
    <xdr:sp macro="" textlink="">
      <xdr:nvSpPr>
        <xdr:cNvPr id="33" name="フリーフォーム: 図形 32">
          <a:extLst>
            <a:ext uri="{FF2B5EF4-FFF2-40B4-BE49-F238E27FC236}">
              <a16:creationId xmlns:a16="http://schemas.microsoft.com/office/drawing/2014/main" id="{E6AC6236-78BA-4105-ACB9-F78C8CD3D9EE}"/>
            </a:ext>
          </a:extLst>
        </xdr:cNvPr>
        <xdr:cNvSpPr/>
      </xdr:nvSpPr>
      <xdr:spPr>
        <a:xfrm rot="5400000">
          <a:off x="2427473" y="9243453"/>
          <a:ext cx="3155574" cy="87013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220533</xdr:colOff>
      <xdr:row>58</xdr:row>
      <xdr:rowOff>37760</xdr:rowOff>
    </xdr:from>
    <xdr:to>
      <xdr:col>13</xdr:col>
      <xdr:colOff>165005</xdr:colOff>
      <xdr:row>58</xdr:row>
      <xdr:rowOff>76200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35577047-201A-47E5-8902-C991F1941AB2}"/>
            </a:ext>
          </a:extLst>
        </xdr:cNvPr>
        <xdr:cNvCxnSpPr>
          <a:stCxn id="32" idx="0"/>
          <a:endCxn id="15" idx="6"/>
        </xdr:cNvCxnSpPr>
      </xdr:nvCxnSpPr>
      <xdr:spPr>
        <a:xfrm flipH="1">
          <a:off x="4180212" y="11821546"/>
          <a:ext cx="1808650" cy="3844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181261</xdr:colOff>
      <xdr:row>59</xdr:row>
      <xdr:rowOff>92370</xdr:rowOff>
    </xdr:from>
    <xdr:to>
      <xdr:col>7</xdr:col>
      <xdr:colOff>323578</xdr:colOff>
      <xdr:row>69</xdr:row>
      <xdr:rowOff>133353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DFFD07BE-231A-4383-A298-BA7A0D6537EE}"/>
            </a:ext>
          </a:extLst>
        </xdr:cNvPr>
        <xdr:cNvCxnSpPr>
          <a:stCxn id="15" idx="4"/>
          <a:endCxn id="33" idx="0"/>
        </xdr:cNvCxnSpPr>
      </xdr:nvCxnSpPr>
      <xdr:spPr>
        <a:xfrm flipH="1">
          <a:off x="3814368" y="12080263"/>
          <a:ext cx="142317" cy="191876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112567</xdr:colOff>
      <xdr:row>84</xdr:row>
      <xdr:rowOff>95250</xdr:rowOff>
    </xdr:from>
    <xdr:to>
      <xdr:col>7</xdr:col>
      <xdr:colOff>237550</xdr:colOff>
      <xdr:row>87</xdr:row>
      <xdr:rowOff>202481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3DB02C09-157B-4C5B-A89B-D4A8BE91F522}"/>
            </a:ext>
          </a:extLst>
        </xdr:cNvPr>
        <xdr:cNvCxnSpPr>
          <a:cxnSpLocks/>
          <a:stCxn id="33" idx="9"/>
          <a:endCxn id="27" idx="0"/>
        </xdr:cNvCxnSpPr>
      </xdr:nvCxnSpPr>
      <xdr:spPr>
        <a:xfrm flipH="1">
          <a:off x="3732067" y="17811750"/>
          <a:ext cx="124983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153</xdr:col>
      <xdr:colOff>83881</xdr:colOff>
      <xdr:row>25</xdr:row>
      <xdr:rowOff>146451</xdr:rowOff>
    </xdr:from>
    <xdr:to>
      <xdr:col>155</xdr:col>
      <xdr:colOff>358589</xdr:colOff>
      <xdr:row>27</xdr:row>
      <xdr:rowOff>81586</xdr:rowOff>
    </xdr:to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A013059-4205-497E-A404-1097CC689DAE}"/>
            </a:ext>
          </a:extLst>
        </xdr:cNvPr>
        <xdr:cNvSpPr txBox="1"/>
      </xdr:nvSpPr>
      <xdr:spPr>
        <a:xfrm>
          <a:off x="13340440" y="5525275"/>
          <a:ext cx="700531" cy="360958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 baseline="0"/>
            <a:t>Q </a:t>
          </a:r>
          <a:endParaRPr kumimoji="1" lang="ja-JP" altLang="en-US" sz="2000"/>
        </a:p>
      </xdr:txBody>
    </xdr:sp>
    <xdr:clientData/>
  </xdr:twoCellAnchor>
  <xdr:twoCellAnchor>
    <xdr:from>
      <xdr:col>34</xdr:col>
      <xdr:colOff>334573</xdr:colOff>
      <xdr:row>26</xdr:row>
      <xdr:rowOff>19594</xdr:rowOff>
    </xdr:from>
    <xdr:to>
      <xdr:col>36</xdr:col>
      <xdr:colOff>219732</xdr:colOff>
      <xdr:row>28</xdr:row>
      <xdr:rowOff>104794</xdr:rowOff>
    </xdr:to>
    <xdr:sp macro="" textlink="">
      <xdr:nvSpPr>
        <xdr:cNvPr id="50" name="楕円 49">
          <a:extLst>
            <a:ext uri="{FF2B5EF4-FFF2-40B4-BE49-F238E27FC236}">
              <a16:creationId xmlns:a16="http://schemas.microsoft.com/office/drawing/2014/main" id="{A030DD52-B1DF-49FF-98D0-8E80B36AD81F}"/>
            </a:ext>
          </a:extLst>
        </xdr:cNvPr>
        <xdr:cNvSpPr/>
      </xdr:nvSpPr>
      <xdr:spPr>
        <a:xfrm>
          <a:off x="12594609" y="5394415"/>
          <a:ext cx="538302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55469</xdr:colOff>
      <xdr:row>57</xdr:row>
      <xdr:rowOff>202294</xdr:rowOff>
    </xdr:from>
    <xdr:to>
      <xdr:col>34</xdr:col>
      <xdr:colOff>334573</xdr:colOff>
      <xdr:row>58</xdr:row>
      <xdr:rowOff>68998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2623D5E2-3F96-4045-8782-3186A2294399}"/>
            </a:ext>
          </a:extLst>
        </xdr:cNvPr>
        <xdr:cNvCxnSpPr>
          <a:stCxn id="95" idx="2"/>
          <a:endCxn id="32" idx="9"/>
        </xdr:cNvCxnSpPr>
      </xdr:nvCxnSpPr>
      <xdr:spPr>
        <a:xfrm flipH="1" flipV="1">
          <a:off x="11281362" y="11986080"/>
          <a:ext cx="1367675" cy="7081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55469</xdr:colOff>
      <xdr:row>26</xdr:row>
      <xdr:rowOff>202294</xdr:rowOff>
    </xdr:from>
    <xdr:to>
      <xdr:col>34</xdr:col>
      <xdr:colOff>334573</xdr:colOff>
      <xdr:row>27</xdr:row>
      <xdr:rowOff>68997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D76DDD34-219D-48A4-9394-367F5AB5D311}"/>
            </a:ext>
          </a:extLst>
        </xdr:cNvPr>
        <xdr:cNvCxnSpPr>
          <a:stCxn id="50" idx="2"/>
          <a:endCxn id="14" idx="9"/>
        </xdr:cNvCxnSpPr>
      </xdr:nvCxnSpPr>
      <xdr:spPr>
        <a:xfrm flipH="1" flipV="1">
          <a:off x="11281362" y="5577115"/>
          <a:ext cx="1313247" cy="7081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219732</xdr:colOff>
      <xdr:row>27</xdr:row>
      <xdr:rowOff>18020</xdr:rowOff>
    </xdr:from>
    <xdr:to>
      <xdr:col>41</xdr:col>
      <xdr:colOff>178612</xdr:colOff>
      <xdr:row>27</xdr:row>
      <xdr:rowOff>68997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97652B70-7D7E-4C61-95CE-E78B59C44010}"/>
            </a:ext>
          </a:extLst>
        </xdr:cNvPr>
        <xdr:cNvCxnSpPr>
          <a:stCxn id="36" idx="0"/>
          <a:endCxn id="50" idx="6"/>
        </xdr:cNvCxnSpPr>
      </xdr:nvCxnSpPr>
      <xdr:spPr>
        <a:xfrm flipH="1">
          <a:off x="13132911" y="5596949"/>
          <a:ext cx="1727808" cy="5097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178612</xdr:colOff>
      <xdr:row>25</xdr:row>
      <xdr:rowOff>120425</xdr:rowOff>
    </xdr:from>
    <xdr:to>
      <xdr:col>58</xdr:col>
      <xdr:colOff>69076</xdr:colOff>
      <xdr:row>28</xdr:row>
      <xdr:rowOff>51227</xdr:rowOff>
    </xdr:to>
    <xdr:sp macro="" textlink="">
      <xdr:nvSpPr>
        <xdr:cNvPr id="36" name="フリーフォーム: 図形 35">
          <a:extLst>
            <a:ext uri="{FF2B5EF4-FFF2-40B4-BE49-F238E27FC236}">
              <a16:creationId xmlns:a16="http://schemas.microsoft.com/office/drawing/2014/main" id="{2DDAB7D3-E0EA-4F83-A855-3EAD597B9D37}"/>
            </a:ext>
          </a:extLst>
        </xdr:cNvPr>
        <xdr:cNvSpPr/>
      </xdr:nvSpPr>
      <xdr:spPr>
        <a:xfrm>
          <a:off x="14860719" y="5291139"/>
          <a:ext cx="5945643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225717</xdr:colOff>
      <xdr:row>26</xdr:row>
      <xdr:rowOff>46808</xdr:rowOff>
    </xdr:from>
    <xdr:to>
      <xdr:col>64</xdr:col>
      <xdr:colOff>110876</xdr:colOff>
      <xdr:row>28</xdr:row>
      <xdr:rowOff>132008</xdr:rowOff>
    </xdr:to>
    <xdr:sp macro="" textlink="">
      <xdr:nvSpPr>
        <xdr:cNvPr id="38" name="楕円 37">
          <a:extLst>
            <a:ext uri="{FF2B5EF4-FFF2-40B4-BE49-F238E27FC236}">
              <a16:creationId xmlns:a16="http://schemas.microsoft.com/office/drawing/2014/main" id="{8EE965A7-AB3D-4094-9A5F-559BE35DFE7E}"/>
            </a:ext>
          </a:extLst>
        </xdr:cNvPr>
        <xdr:cNvSpPr/>
      </xdr:nvSpPr>
      <xdr:spPr>
        <a:xfrm>
          <a:off x="22160431" y="5421629"/>
          <a:ext cx="619945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178612</xdr:colOff>
      <xdr:row>25</xdr:row>
      <xdr:rowOff>120425</xdr:rowOff>
    </xdr:from>
    <xdr:to>
      <xdr:col>86</xdr:col>
      <xdr:colOff>69076</xdr:colOff>
      <xdr:row>28</xdr:row>
      <xdr:rowOff>51227</xdr:rowOff>
    </xdr:to>
    <xdr:sp macro="" textlink="">
      <xdr:nvSpPr>
        <xdr:cNvPr id="39" name="フリーフォーム: 図形 38">
          <a:extLst>
            <a:ext uri="{FF2B5EF4-FFF2-40B4-BE49-F238E27FC236}">
              <a16:creationId xmlns:a16="http://schemas.microsoft.com/office/drawing/2014/main" id="{EFA4F454-4ACA-450F-BC0C-E8FE85D11880}"/>
            </a:ext>
          </a:extLst>
        </xdr:cNvPr>
        <xdr:cNvSpPr/>
      </xdr:nvSpPr>
      <xdr:spPr>
        <a:xfrm>
          <a:off x="14743203" y="5402470"/>
          <a:ext cx="5934509" cy="571575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113759</xdr:colOff>
      <xdr:row>26</xdr:row>
      <xdr:rowOff>5987</xdr:rowOff>
    </xdr:from>
    <xdr:to>
      <xdr:col>92</xdr:col>
      <xdr:colOff>32337</xdr:colOff>
      <xdr:row>28</xdr:row>
      <xdr:rowOff>91187</xdr:rowOff>
    </xdr:to>
    <xdr:sp macro="" textlink="">
      <xdr:nvSpPr>
        <xdr:cNvPr id="40" name="楕円 39">
          <a:extLst>
            <a:ext uri="{FF2B5EF4-FFF2-40B4-BE49-F238E27FC236}">
              <a16:creationId xmlns:a16="http://schemas.microsoft.com/office/drawing/2014/main" id="{876DF1AB-CD86-4D06-91AA-D39F806CB786}"/>
            </a:ext>
          </a:extLst>
        </xdr:cNvPr>
        <xdr:cNvSpPr/>
      </xdr:nvSpPr>
      <xdr:spPr>
        <a:xfrm>
          <a:off x="30879509" y="5380808"/>
          <a:ext cx="517292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178612</xdr:colOff>
      <xdr:row>25</xdr:row>
      <xdr:rowOff>120425</xdr:rowOff>
    </xdr:from>
    <xdr:to>
      <xdr:col>114</xdr:col>
      <xdr:colOff>69076</xdr:colOff>
      <xdr:row>28</xdr:row>
      <xdr:rowOff>51227</xdr:rowOff>
    </xdr:to>
    <xdr:sp macro="" textlink="">
      <xdr:nvSpPr>
        <xdr:cNvPr id="41" name="フリーフォーム: 図形 40">
          <a:extLst>
            <a:ext uri="{FF2B5EF4-FFF2-40B4-BE49-F238E27FC236}">
              <a16:creationId xmlns:a16="http://schemas.microsoft.com/office/drawing/2014/main" id="{06CB38AC-1836-44AD-BC21-F20873AC0C15}"/>
            </a:ext>
          </a:extLst>
        </xdr:cNvPr>
        <xdr:cNvSpPr/>
      </xdr:nvSpPr>
      <xdr:spPr>
        <a:xfrm>
          <a:off x="24698683" y="5291139"/>
          <a:ext cx="5360536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334573</xdr:colOff>
      <xdr:row>26</xdr:row>
      <xdr:rowOff>19594</xdr:rowOff>
    </xdr:from>
    <xdr:to>
      <xdr:col>120</xdr:col>
      <xdr:colOff>219732</xdr:colOff>
      <xdr:row>28</xdr:row>
      <xdr:rowOff>104794</xdr:rowOff>
    </xdr:to>
    <xdr:sp macro="" textlink="">
      <xdr:nvSpPr>
        <xdr:cNvPr id="42" name="楕円 41">
          <a:extLst>
            <a:ext uri="{FF2B5EF4-FFF2-40B4-BE49-F238E27FC236}">
              <a16:creationId xmlns:a16="http://schemas.microsoft.com/office/drawing/2014/main" id="{2AC836D0-7DD8-4AF3-B827-9AEEC778E520}"/>
            </a:ext>
          </a:extLst>
        </xdr:cNvPr>
        <xdr:cNvSpPr/>
      </xdr:nvSpPr>
      <xdr:spPr>
        <a:xfrm>
          <a:off x="31576573" y="5394415"/>
          <a:ext cx="619945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178612</xdr:colOff>
      <xdr:row>25</xdr:row>
      <xdr:rowOff>120425</xdr:rowOff>
    </xdr:from>
    <xdr:to>
      <xdr:col>142</xdr:col>
      <xdr:colOff>69076</xdr:colOff>
      <xdr:row>28</xdr:row>
      <xdr:rowOff>51227</xdr:rowOff>
    </xdr:to>
    <xdr:sp macro="" textlink="">
      <xdr:nvSpPr>
        <xdr:cNvPr id="44" name="フリーフォーム: 図形 43">
          <a:extLst>
            <a:ext uri="{FF2B5EF4-FFF2-40B4-BE49-F238E27FC236}">
              <a16:creationId xmlns:a16="http://schemas.microsoft.com/office/drawing/2014/main" id="{A4F1F5C8-673D-4AC4-8F9B-F8BAB621DA37}"/>
            </a:ext>
          </a:extLst>
        </xdr:cNvPr>
        <xdr:cNvSpPr/>
      </xdr:nvSpPr>
      <xdr:spPr>
        <a:xfrm>
          <a:off x="33815469" y="5291139"/>
          <a:ext cx="5564643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146</xdr:col>
      <xdr:colOff>334573</xdr:colOff>
      <xdr:row>26</xdr:row>
      <xdr:rowOff>19594</xdr:rowOff>
    </xdr:from>
    <xdr:to>
      <xdr:col>148</xdr:col>
      <xdr:colOff>219732</xdr:colOff>
      <xdr:row>28</xdr:row>
      <xdr:rowOff>104794</xdr:rowOff>
    </xdr:to>
    <xdr:sp macro="" textlink="">
      <xdr:nvSpPr>
        <xdr:cNvPr id="45" name="楕円 44">
          <a:extLst>
            <a:ext uri="{FF2B5EF4-FFF2-40B4-BE49-F238E27FC236}">
              <a16:creationId xmlns:a16="http://schemas.microsoft.com/office/drawing/2014/main" id="{C8CBBEA2-2162-4C90-AEF5-D9547906C215}"/>
            </a:ext>
          </a:extLst>
        </xdr:cNvPr>
        <xdr:cNvSpPr/>
      </xdr:nvSpPr>
      <xdr:spPr>
        <a:xfrm>
          <a:off x="41047144" y="5394415"/>
          <a:ext cx="565517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247649</xdr:colOff>
      <xdr:row>8</xdr:row>
      <xdr:rowOff>53070</xdr:rowOff>
    </xdr:from>
    <xdr:to>
      <xdr:col>36</xdr:col>
      <xdr:colOff>34017</xdr:colOff>
      <xdr:row>21</xdr:row>
      <xdr:rowOff>148319</xdr:rowOff>
    </xdr:to>
    <xdr:sp macro="" textlink="">
      <xdr:nvSpPr>
        <xdr:cNvPr id="54" name="フリーフォーム: 図形 53">
          <a:extLst>
            <a:ext uri="{FF2B5EF4-FFF2-40B4-BE49-F238E27FC236}">
              <a16:creationId xmlns:a16="http://schemas.microsoft.com/office/drawing/2014/main" id="{D490701C-2555-47FC-965B-E763A8AB2101}"/>
            </a:ext>
          </a:extLst>
        </xdr:cNvPr>
        <xdr:cNvSpPr/>
      </xdr:nvSpPr>
      <xdr:spPr>
        <a:xfrm rot="5400000">
          <a:off x="11257869" y="2731636"/>
          <a:ext cx="2748641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136812</xdr:colOff>
      <xdr:row>2</xdr:row>
      <xdr:rowOff>180069</xdr:rowOff>
    </xdr:from>
    <xdr:to>
      <xdr:col>36</xdr:col>
      <xdr:colOff>53686</xdr:colOff>
      <xdr:row>4</xdr:row>
      <xdr:rowOff>115204</xdr:rowOff>
    </xdr:to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89FCAD37-1209-4CAE-9D14-6352C1B50A0F}"/>
            </a:ext>
          </a:extLst>
        </xdr:cNvPr>
        <xdr:cNvSpPr txBox="1"/>
      </xdr:nvSpPr>
      <xdr:spPr>
        <a:xfrm>
          <a:off x="3484169" y="601890"/>
          <a:ext cx="529196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34</xdr:col>
      <xdr:colOff>281303</xdr:colOff>
      <xdr:row>4</xdr:row>
      <xdr:rowOff>115204</xdr:rowOff>
    </xdr:from>
    <xdr:to>
      <xdr:col>35</xdr:col>
      <xdr:colOff>54428</xdr:colOff>
      <xdr:row>8</xdr:row>
      <xdr:rowOff>53071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E674A102-2AD3-498B-B1D3-AB3BFF68926C}"/>
            </a:ext>
          </a:extLst>
        </xdr:cNvPr>
        <xdr:cNvCxnSpPr>
          <a:stCxn id="55" idx="2"/>
          <a:endCxn id="54" idx="0"/>
        </xdr:cNvCxnSpPr>
      </xdr:nvCxnSpPr>
      <xdr:spPr>
        <a:xfrm flipH="1">
          <a:off x="12595767" y="945240"/>
          <a:ext cx="140518" cy="78151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247649</xdr:colOff>
      <xdr:row>8</xdr:row>
      <xdr:rowOff>53070</xdr:rowOff>
    </xdr:from>
    <xdr:to>
      <xdr:col>64</xdr:col>
      <xdr:colOff>34017</xdr:colOff>
      <xdr:row>21</xdr:row>
      <xdr:rowOff>148319</xdr:rowOff>
    </xdr:to>
    <xdr:sp macro="" textlink="">
      <xdr:nvSpPr>
        <xdr:cNvPr id="58" name="フリーフォーム: 図形 57">
          <a:extLst>
            <a:ext uri="{FF2B5EF4-FFF2-40B4-BE49-F238E27FC236}">
              <a16:creationId xmlns:a16="http://schemas.microsoft.com/office/drawing/2014/main" id="{B8B8DFE2-E554-47BD-983A-D86672F1ED13}"/>
            </a:ext>
          </a:extLst>
        </xdr:cNvPr>
        <xdr:cNvSpPr/>
      </xdr:nvSpPr>
      <xdr:spPr>
        <a:xfrm rot="5400000">
          <a:off x="11257869" y="2731636"/>
          <a:ext cx="2748641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136812</xdr:colOff>
      <xdr:row>2</xdr:row>
      <xdr:rowOff>180069</xdr:rowOff>
    </xdr:from>
    <xdr:to>
      <xdr:col>64</xdr:col>
      <xdr:colOff>53686</xdr:colOff>
      <xdr:row>4</xdr:row>
      <xdr:rowOff>115204</xdr:rowOff>
    </xdr:to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EA103D6D-FD2B-4B20-8995-6D3C172AA601}"/>
            </a:ext>
          </a:extLst>
        </xdr:cNvPr>
        <xdr:cNvSpPr txBox="1"/>
      </xdr:nvSpPr>
      <xdr:spPr>
        <a:xfrm>
          <a:off x="12451276" y="601890"/>
          <a:ext cx="570017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62</xdr:col>
      <xdr:colOff>281303</xdr:colOff>
      <xdr:row>4</xdr:row>
      <xdr:rowOff>115204</xdr:rowOff>
    </xdr:from>
    <xdr:to>
      <xdr:col>63</xdr:col>
      <xdr:colOff>54428</xdr:colOff>
      <xdr:row>8</xdr:row>
      <xdr:rowOff>53071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FDCD8A90-65C2-4B44-AB75-39C3715C362F}"/>
            </a:ext>
          </a:extLst>
        </xdr:cNvPr>
        <xdr:cNvCxnSpPr>
          <a:stCxn id="60" idx="2"/>
          <a:endCxn id="58" idx="0"/>
        </xdr:cNvCxnSpPr>
      </xdr:nvCxnSpPr>
      <xdr:spPr>
        <a:xfrm flipH="1">
          <a:off x="12595767" y="945240"/>
          <a:ext cx="140518" cy="78151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247649</xdr:colOff>
      <xdr:row>8</xdr:row>
      <xdr:rowOff>53070</xdr:rowOff>
    </xdr:from>
    <xdr:to>
      <xdr:col>92</xdr:col>
      <xdr:colOff>34017</xdr:colOff>
      <xdr:row>21</xdr:row>
      <xdr:rowOff>148319</xdr:rowOff>
    </xdr:to>
    <xdr:sp macro="" textlink="">
      <xdr:nvSpPr>
        <xdr:cNvPr id="62" name="フリーフォーム: 図形 61">
          <a:extLst>
            <a:ext uri="{FF2B5EF4-FFF2-40B4-BE49-F238E27FC236}">
              <a16:creationId xmlns:a16="http://schemas.microsoft.com/office/drawing/2014/main" id="{2C0AD4B8-CDAA-4CFC-858F-63E700D88B40}"/>
            </a:ext>
          </a:extLst>
        </xdr:cNvPr>
        <xdr:cNvSpPr/>
      </xdr:nvSpPr>
      <xdr:spPr>
        <a:xfrm rot="5400000">
          <a:off x="11257869" y="2731636"/>
          <a:ext cx="2748641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136812</xdr:colOff>
      <xdr:row>2</xdr:row>
      <xdr:rowOff>180069</xdr:rowOff>
    </xdr:from>
    <xdr:to>
      <xdr:col>92</xdr:col>
      <xdr:colOff>53686</xdr:colOff>
      <xdr:row>4</xdr:row>
      <xdr:rowOff>115204</xdr:rowOff>
    </xdr:to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9B5CFEE5-FEAF-4A69-A1D8-24FD6DCE1397}"/>
            </a:ext>
          </a:extLst>
        </xdr:cNvPr>
        <xdr:cNvSpPr txBox="1"/>
      </xdr:nvSpPr>
      <xdr:spPr>
        <a:xfrm>
          <a:off x="12451276" y="601890"/>
          <a:ext cx="570017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90</xdr:col>
      <xdr:colOff>281303</xdr:colOff>
      <xdr:row>4</xdr:row>
      <xdr:rowOff>115204</xdr:rowOff>
    </xdr:from>
    <xdr:to>
      <xdr:col>91</xdr:col>
      <xdr:colOff>54428</xdr:colOff>
      <xdr:row>8</xdr:row>
      <xdr:rowOff>53071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D33809E2-8AD0-4C52-8B43-88239632BF37}"/>
            </a:ext>
          </a:extLst>
        </xdr:cNvPr>
        <xdr:cNvCxnSpPr>
          <a:stCxn id="63" idx="2"/>
          <a:endCxn id="62" idx="0"/>
        </xdr:cNvCxnSpPr>
      </xdr:nvCxnSpPr>
      <xdr:spPr>
        <a:xfrm flipH="1">
          <a:off x="12595767" y="945240"/>
          <a:ext cx="140518" cy="78151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247649</xdr:colOff>
      <xdr:row>8</xdr:row>
      <xdr:rowOff>53070</xdr:rowOff>
    </xdr:from>
    <xdr:to>
      <xdr:col>120</xdr:col>
      <xdr:colOff>34017</xdr:colOff>
      <xdr:row>21</xdr:row>
      <xdr:rowOff>148319</xdr:rowOff>
    </xdr:to>
    <xdr:sp macro="" textlink="">
      <xdr:nvSpPr>
        <xdr:cNvPr id="65" name="フリーフォーム: 図形 64">
          <a:extLst>
            <a:ext uri="{FF2B5EF4-FFF2-40B4-BE49-F238E27FC236}">
              <a16:creationId xmlns:a16="http://schemas.microsoft.com/office/drawing/2014/main" id="{4A0CED8C-41A6-4A0F-8F3B-34087B7CE9E6}"/>
            </a:ext>
          </a:extLst>
        </xdr:cNvPr>
        <xdr:cNvSpPr/>
      </xdr:nvSpPr>
      <xdr:spPr>
        <a:xfrm rot="5400000">
          <a:off x="30246637" y="2656797"/>
          <a:ext cx="2748641" cy="888546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136812</xdr:colOff>
      <xdr:row>2</xdr:row>
      <xdr:rowOff>180069</xdr:rowOff>
    </xdr:from>
    <xdr:to>
      <xdr:col>120</xdr:col>
      <xdr:colOff>53686</xdr:colOff>
      <xdr:row>4</xdr:row>
      <xdr:rowOff>115204</xdr:rowOff>
    </xdr:to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7B0C0CF8-C929-45E6-8DD5-6AA811C6D3AB}"/>
            </a:ext>
          </a:extLst>
        </xdr:cNvPr>
        <xdr:cNvSpPr txBox="1"/>
      </xdr:nvSpPr>
      <xdr:spPr>
        <a:xfrm>
          <a:off x="31433241" y="601890"/>
          <a:ext cx="651659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118</xdr:col>
      <xdr:colOff>281303</xdr:colOff>
      <xdr:row>4</xdr:row>
      <xdr:rowOff>115204</xdr:rowOff>
    </xdr:from>
    <xdr:to>
      <xdr:col>119</xdr:col>
      <xdr:colOff>54428</xdr:colOff>
      <xdr:row>8</xdr:row>
      <xdr:rowOff>53071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3B679530-1764-49C1-A8BD-DF30AFAFC407}"/>
            </a:ext>
          </a:extLst>
        </xdr:cNvPr>
        <xdr:cNvCxnSpPr>
          <a:stCxn id="66" idx="2"/>
          <a:endCxn id="65" idx="0"/>
        </xdr:cNvCxnSpPr>
      </xdr:nvCxnSpPr>
      <xdr:spPr>
        <a:xfrm flipH="1">
          <a:off x="31577732" y="945240"/>
          <a:ext cx="140517" cy="78151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343742</xdr:colOff>
      <xdr:row>21</xdr:row>
      <xdr:rowOff>148320</xdr:rowOff>
    </xdr:from>
    <xdr:to>
      <xdr:col>35</xdr:col>
      <xdr:colOff>236331</xdr:colOff>
      <xdr:row>26</xdr:row>
      <xdr:rowOff>19594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82BB4459-957C-4380-87AB-5F64C4F95821}"/>
            </a:ext>
          </a:extLst>
        </xdr:cNvPr>
        <xdr:cNvCxnSpPr>
          <a:stCxn id="54" idx="9"/>
          <a:endCxn id="50" idx="0"/>
        </xdr:cNvCxnSpPr>
      </xdr:nvCxnSpPr>
      <xdr:spPr>
        <a:xfrm>
          <a:off x="12658206" y="4475391"/>
          <a:ext cx="259982" cy="919024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355816</xdr:colOff>
      <xdr:row>21</xdr:row>
      <xdr:rowOff>148319</xdr:rowOff>
    </xdr:from>
    <xdr:to>
      <xdr:col>63</xdr:col>
      <xdr:colOff>168297</xdr:colOff>
      <xdr:row>26</xdr:row>
      <xdr:rowOff>46808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8AEFBFE2-E313-4AA0-8C0A-1AC098E6C79E}"/>
            </a:ext>
          </a:extLst>
        </xdr:cNvPr>
        <xdr:cNvCxnSpPr>
          <a:stCxn id="58" idx="9"/>
          <a:endCxn id="38" idx="0"/>
        </xdr:cNvCxnSpPr>
      </xdr:nvCxnSpPr>
      <xdr:spPr>
        <a:xfrm>
          <a:off x="22290530" y="4475390"/>
          <a:ext cx="179874" cy="94623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15254</xdr:colOff>
      <xdr:row>21</xdr:row>
      <xdr:rowOff>148319</xdr:rowOff>
    </xdr:from>
    <xdr:to>
      <xdr:col>91</xdr:col>
      <xdr:colOff>73048</xdr:colOff>
      <xdr:row>26</xdr:row>
      <xdr:rowOff>5987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601124AD-A005-4AD0-82F5-B59A77A7D92A}"/>
            </a:ext>
          </a:extLst>
        </xdr:cNvPr>
        <xdr:cNvCxnSpPr>
          <a:stCxn id="62" idx="9"/>
          <a:endCxn id="40" idx="0"/>
        </xdr:cNvCxnSpPr>
      </xdr:nvCxnSpPr>
      <xdr:spPr>
        <a:xfrm>
          <a:off x="31080361" y="4475390"/>
          <a:ext cx="57794" cy="90541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339334</xdr:colOff>
      <xdr:row>21</xdr:row>
      <xdr:rowOff>148320</xdr:rowOff>
    </xdr:from>
    <xdr:to>
      <xdr:col>119</xdr:col>
      <xdr:colOff>277152</xdr:colOff>
      <xdr:row>26</xdr:row>
      <xdr:rowOff>19594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4ECC9755-0D56-486C-89C4-8053BE83F7A2}"/>
            </a:ext>
          </a:extLst>
        </xdr:cNvPr>
        <xdr:cNvCxnSpPr>
          <a:stCxn id="65" idx="9"/>
          <a:endCxn id="42" idx="0"/>
        </xdr:cNvCxnSpPr>
      </xdr:nvCxnSpPr>
      <xdr:spPr>
        <a:xfrm>
          <a:off x="41106334" y="4475391"/>
          <a:ext cx="277997" cy="919024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69076</xdr:colOff>
      <xdr:row>26</xdr:row>
      <xdr:rowOff>175080</xdr:rowOff>
    </xdr:from>
    <xdr:to>
      <xdr:col>62</xdr:col>
      <xdr:colOff>225717</xdr:colOff>
      <xdr:row>27</xdr:row>
      <xdr:rowOff>96211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72EFB2BB-1DA3-42E5-8FD7-EE8B17288FBE}"/>
            </a:ext>
          </a:extLst>
        </xdr:cNvPr>
        <xdr:cNvCxnSpPr>
          <a:stCxn id="38" idx="2"/>
          <a:endCxn id="36" idx="9"/>
        </xdr:cNvCxnSpPr>
      </xdr:nvCxnSpPr>
      <xdr:spPr>
        <a:xfrm flipH="1" flipV="1">
          <a:off x="20860790" y="5549901"/>
          <a:ext cx="1299641" cy="12523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110876</xdr:colOff>
      <xdr:row>27</xdr:row>
      <xdr:rowOff>18020</xdr:rowOff>
    </xdr:from>
    <xdr:to>
      <xdr:col>69</xdr:col>
      <xdr:colOff>178612</xdr:colOff>
      <xdr:row>27</xdr:row>
      <xdr:rowOff>96211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7ACD573C-4343-451F-8967-E7BC9C2F1F09}"/>
            </a:ext>
          </a:extLst>
        </xdr:cNvPr>
        <xdr:cNvCxnSpPr>
          <a:stCxn id="39" idx="0"/>
          <a:endCxn id="38" idx="6"/>
        </xdr:cNvCxnSpPr>
      </xdr:nvCxnSpPr>
      <xdr:spPr>
        <a:xfrm flipH="1">
          <a:off x="22780376" y="5596949"/>
          <a:ext cx="1972736" cy="7819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69076</xdr:colOff>
      <xdr:row>26</xdr:row>
      <xdr:rowOff>175080</xdr:rowOff>
    </xdr:from>
    <xdr:to>
      <xdr:col>90</xdr:col>
      <xdr:colOff>113759</xdr:colOff>
      <xdr:row>27</xdr:row>
      <xdr:rowOff>55390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33B37972-2B23-4BB2-936D-E4B0F3801B1D}"/>
            </a:ext>
          </a:extLst>
        </xdr:cNvPr>
        <xdr:cNvCxnSpPr>
          <a:stCxn id="40" idx="2"/>
          <a:endCxn id="39" idx="9"/>
        </xdr:cNvCxnSpPr>
      </xdr:nvCxnSpPr>
      <xdr:spPr>
        <a:xfrm flipH="1" flipV="1">
          <a:off x="29651005" y="5549901"/>
          <a:ext cx="1228504" cy="8441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32337</xdr:colOff>
      <xdr:row>27</xdr:row>
      <xdr:rowOff>18020</xdr:rowOff>
    </xdr:from>
    <xdr:to>
      <xdr:col>97</xdr:col>
      <xdr:colOff>178612</xdr:colOff>
      <xdr:row>27</xdr:row>
      <xdr:rowOff>55390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8BF37475-A547-4B11-8B24-49110612340A}"/>
            </a:ext>
          </a:extLst>
        </xdr:cNvPr>
        <xdr:cNvCxnSpPr>
          <a:stCxn id="41" idx="0"/>
          <a:endCxn id="40" idx="6"/>
        </xdr:cNvCxnSpPr>
      </xdr:nvCxnSpPr>
      <xdr:spPr>
        <a:xfrm flipH="1">
          <a:off x="31396801" y="5596949"/>
          <a:ext cx="1738311" cy="3737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69076</xdr:colOff>
      <xdr:row>26</xdr:row>
      <xdr:rowOff>175080</xdr:rowOff>
    </xdr:from>
    <xdr:to>
      <xdr:col>118</xdr:col>
      <xdr:colOff>334573</xdr:colOff>
      <xdr:row>27</xdr:row>
      <xdr:rowOff>68997</xdr:rowOff>
    </xdr:to>
    <xdr:cxnSp macro="">
      <xdr:nvCxnSpPr>
        <xdr:cNvPr id="82" name="直線コネクタ 81">
          <a:extLst>
            <a:ext uri="{FF2B5EF4-FFF2-40B4-BE49-F238E27FC236}">
              <a16:creationId xmlns:a16="http://schemas.microsoft.com/office/drawing/2014/main" id="{B9923AC4-6298-4CD9-9736-6107FC6B3C28}"/>
            </a:ext>
          </a:extLst>
        </xdr:cNvPr>
        <xdr:cNvCxnSpPr>
          <a:stCxn id="42" idx="2"/>
          <a:endCxn id="41" idx="9"/>
        </xdr:cNvCxnSpPr>
      </xdr:nvCxnSpPr>
      <xdr:spPr>
        <a:xfrm flipH="1" flipV="1">
          <a:off x="39638647" y="5549901"/>
          <a:ext cx="1462926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219732</xdr:colOff>
      <xdr:row>27</xdr:row>
      <xdr:rowOff>18020</xdr:rowOff>
    </xdr:from>
    <xdr:to>
      <xdr:col>125</xdr:col>
      <xdr:colOff>178612</xdr:colOff>
      <xdr:row>27</xdr:row>
      <xdr:rowOff>68997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59627CD7-5B77-43FB-A234-1E58C2633251}"/>
            </a:ext>
          </a:extLst>
        </xdr:cNvPr>
        <xdr:cNvCxnSpPr>
          <a:stCxn id="44" idx="0"/>
          <a:endCxn id="42" idx="6"/>
        </xdr:cNvCxnSpPr>
      </xdr:nvCxnSpPr>
      <xdr:spPr>
        <a:xfrm flipH="1">
          <a:off x="41667089" y="5596949"/>
          <a:ext cx="1714202" cy="5097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142</xdr:col>
      <xdr:colOff>69076</xdr:colOff>
      <xdr:row>26</xdr:row>
      <xdr:rowOff>175080</xdr:rowOff>
    </xdr:from>
    <xdr:to>
      <xdr:col>146</xdr:col>
      <xdr:colOff>334573</xdr:colOff>
      <xdr:row>27</xdr:row>
      <xdr:rowOff>68997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383CC74C-20A7-4596-ACD0-F3283B16F555}"/>
            </a:ext>
          </a:extLst>
        </xdr:cNvPr>
        <xdr:cNvCxnSpPr>
          <a:stCxn id="45" idx="2"/>
          <a:endCxn id="44" idx="9"/>
        </xdr:cNvCxnSpPr>
      </xdr:nvCxnSpPr>
      <xdr:spPr>
        <a:xfrm flipH="1" flipV="1">
          <a:off x="49272505" y="5549901"/>
          <a:ext cx="1612604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219732</xdr:colOff>
      <xdr:row>26</xdr:row>
      <xdr:rowOff>114019</xdr:rowOff>
    </xdr:from>
    <xdr:to>
      <xdr:col>153</xdr:col>
      <xdr:colOff>83881</xdr:colOff>
      <xdr:row>27</xdr:row>
      <xdr:rowOff>68997</xdr:rowOff>
    </xdr:to>
    <xdr:cxnSp macro="">
      <xdr:nvCxnSpPr>
        <xdr:cNvPr id="92" name="直線コネクタ 91">
          <a:extLst>
            <a:ext uri="{FF2B5EF4-FFF2-40B4-BE49-F238E27FC236}">
              <a16:creationId xmlns:a16="http://schemas.microsoft.com/office/drawing/2014/main" id="{5424AB99-2F26-4AD0-8604-EFE24627DA0B}"/>
            </a:ext>
          </a:extLst>
        </xdr:cNvPr>
        <xdr:cNvCxnSpPr>
          <a:stCxn id="49" idx="1"/>
          <a:endCxn id="45" idx="6"/>
        </xdr:cNvCxnSpPr>
      </xdr:nvCxnSpPr>
      <xdr:spPr>
        <a:xfrm flipH="1">
          <a:off x="51477839" y="5488840"/>
          <a:ext cx="1809971" cy="159086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334573</xdr:colOff>
      <xdr:row>57</xdr:row>
      <xdr:rowOff>19594</xdr:rowOff>
    </xdr:from>
    <xdr:to>
      <xdr:col>36</xdr:col>
      <xdr:colOff>219732</xdr:colOff>
      <xdr:row>59</xdr:row>
      <xdr:rowOff>104794</xdr:rowOff>
    </xdr:to>
    <xdr:sp macro="" textlink="">
      <xdr:nvSpPr>
        <xdr:cNvPr id="95" name="楕円 94">
          <a:extLst>
            <a:ext uri="{FF2B5EF4-FFF2-40B4-BE49-F238E27FC236}">
              <a16:creationId xmlns:a16="http://schemas.microsoft.com/office/drawing/2014/main" id="{DBA37B74-DB24-41FF-86C3-9C9D879411EF}"/>
            </a:ext>
          </a:extLst>
        </xdr:cNvPr>
        <xdr:cNvSpPr/>
      </xdr:nvSpPr>
      <xdr:spPr>
        <a:xfrm>
          <a:off x="12649037" y="5394415"/>
          <a:ext cx="538302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219732</xdr:colOff>
      <xdr:row>58</xdr:row>
      <xdr:rowOff>18020</xdr:rowOff>
    </xdr:from>
    <xdr:to>
      <xdr:col>41</xdr:col>
      <xdr:colOff>178612</xdr:colOff>
      <xdr:row>58</xdr:row>
      <xdr:rowOff>68997</xdr:rowOff>
    </xdr:to>
    <xdr:cxnSp macro="">
      <xdr:nvCxnSpPr>
        <xdr:cNvPr id="96" name="直線コネクタ 95">
          <a:extLst>
            <a:ext uri="{FF2B5EF4-FFF2-40B4-BE49-F238E27FC236}">
              <a16:creationId xmlns:a16="http://schemas.microsoft.com/office/drawing/2014/main" id="{52170940-7059-4F74-9108-789DE71C2EFC}"/>
            </a:ext>
          </a:extLst>
        </xdr:cNvPr>
        <xdr:cNvCxnSpPr>
          <a:stCxn id="97" idx="0"/>
          <a:endCxn id="95" idx="6"/>
        </xdr:cNvCxnSpPr>
      </xdr:nvCxnSpPr>
      <xdr:spPr>
        <a:xfrm flipH="1">
          <a:off x="13187339" y="5596949"/>
          <a:ext cx="1727809" cy="5097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178612</xdr:colOff>
      <xdr:row>56</xdr:row>
      <xdr:rowOff>120425</xdr:rowOff>
    </xdr:from>
    <xdr:to>
      <xdr:col>58</xdr:col>
      <xdr:colOff>69076</xdr:colOff>
      <xdr:row>59</xdr:row>
      <xdr:rowOff>51227</xdr:rowOff>
    </xdr:to>
    <xdr:sp macro="" textlink="">
      <xdr:nvSpPr>
        <xdr:cNvPr id="97" name="フリーフォーム: 図形 96">
          <a:extLst>
            <a:ext uri="{FF2B5EF4-FFF2-40B4-BE49-F238E27FC236}">
              <a16:creationId xmlns:a16="http://schemas.microsoft.com/office/drawing/2014/main" id="{A2D5AF4E-9FBA-499F-B60C-35B9DE5504A8}"/>
            </a:ext>
          </a:extLst>
        </xdr:cNvPr>
        <xdr:cNvSpPr/>
      </xdr:nvSpPr>
      <xdr:spPr>
        <a:xfrm>
          <a:off x="14915148" y="11700104"/>
          <a:ext cx="5945642" cy="556730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225717</xdr:colOff>
      <xdr:row>57</xdr:row>
      <xdr:rowOff>46808</xdr:rowOff>
    </xdr:from>
    <xdr:to>
      <xdr:col>64</xdr:col>
      <xdr:colOff>110876</xdr:colOff>
      <xdr:row>59</xdr:row>
      <xdr:rowOff>132008</xdr:rowOff>
    </xdr:to>
    <xdr:sp macro="" textlink="">
      <xdr:nvSpPr>
        <xdr:cNvPr id="98" name="楕円 97">
          <a:extLst>
            <a:ext uri="{FF2B5EF4-FFF2-40B4-BE49-F238E27FC236}">
              <a16:creationId xmlns:a16="http://schemas.microsoft.com/office/drawing/2014/main" id="{69A98594-3739-4703-A5DD-087F14DF6171}"/>
            </a:ext>
          </a:extLst>
        </xdr:cNvPr>
        <xdr:cNvSpPr/>
      </xdr:nvSpPr>
      <xdr:spPr>
        <a:xfrm>
          <a:off x="22160431" y="5421629"/>
          <a:ext cx="619945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178612</xdr:colOff>
      <xdr:row>56</xdr:row>
      <xdr:rowOff>120425</xdr:rowOff>
    </xdr:from>
    <xdr:to>
      <xdr:col>86</xdr:col>
      <xdr:colOff>69076</xdr:colOff>
      <xdr:row>59</xdr:row>
      <xdr:rowOff>51227</xdr:rowOff>
    </xdr:to>
    <xdr:sp macro="" textlink="">
      <xdr:nvSpPr>
        <xdr:cNvPr id="99" name="フリーフォーム: 図形 98">
          <a:extLst>
            <a:ext uri="{FF2B5EF4-FFF2-40B4-BE49-F238E27FC236}">
              <a16:creationId xmlns:a16="http://schemas.microsoft.com/office/drawing/2014/main" id="{349ADF13-F012-40B2-B732-585EC425646C}"/>
            </a:ext>
          </a:extLst>
        </xdr:cNvPr>
        <xdr:cNvSpPr/>
      </xdr:nvSpPr>
      <xdr:spPr>
        <a:xfrm>
          <a:off x="24753112" y="5291139"/>
          <a:ext cx="5360535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113759</xdr:colOff>
      <xdr:row>57</xdr:row>
      <xdr:rowOff>19594</xdr:rowOff>
    </xdr:from>
    <xdr:to>
      <xdr:col>92</xdr:col>
      <xdr:colOff>32337</xdr:colOff>
      <xdr:row>59</xdr:row>
      <xdr:rowOff>104794</xdr:rowOff>
    </xdr:to>
    <xdr:sp macro="" textlink="">
      <xdr:nvSpPr>
        <xdr:cNvPr id="100" name="楕円 99">
          <a:extLst>
            <a:ext uri="{FF2B5EF4-FFF2-40B4-BE49-F238E27FC236}">
              <a16:creationId xmlns:a16="http://schemas.microsoft.com/office/drawing/2014/main" id="{4968FCC3-1426-4E79-A798-B5FC18A822B7}"/>
            </a:ext>
          </a:extLst>
        </xdr:cNvPr>
        <xdr:cNvSpPr/>
      </xdr:nvSpPr>
      <xdr:spPr>
        <a:xfrm>
          <a:off x="30879509" y="11803380"/>
          <a:ext cx="517292" cy="507021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178612</xdr:colOff>
      <xdr:row>56</xdr:row>
      <xdr:rowOff>120425</xdr:rowOff>
    </xdr:from>
    <xdr:to>
      <xdr:col>114</xdr:col>
      <xdr:colOff>69076</xdr:colOff>
      <xdr:row>59</xdr:row>
      <xdr:rowOff>51227</xdr:rowOff>
    </xdr:to>
    <xdr:sp macro="" textlink="">
      <xdr:nvSpPr>
        <xdr:cNvPr id="101" name="フリーフォーム: 図形 100">
          <a:extLst>
            <a:ext uri="{FF2B5EF4-FFF2-40B4-BE49-F238E27FC236}">
              <a16:creationId xmlns:a16="http://schemas.microsoft.com/office/drawing/2014/main" id="{57C16D91-CAAB-4473-854C-A7B2B50161B9}"/>
            </a:ext>
          </a:extLst>
        </xdr:cNvPr>
        <xdr:cNvSpPr/>
      </xdr:nvSpPr>
      <xdr:spPr>
        <a:xfrm>
          <a:off x="33869898" y="5291139"/>
          <a:ext cx="5768749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334573</xdr:colOff>
      <xdr:row>57</xdr:row>
      <xdr:rowOff>19594</xdr:rowOff>
    </xdr:from>
    <xdr:to>
      <xdr:col>120</xdr:col>
      <xdr:colOff>219732</xdr:colOff>
      <xdr:row>59</xdr:row>
      <xdr:rowOff>104794</xdr:rowOff>
    </xdr:to>
    <xdr:sp macro="" textlink="">
      <xdr:nvSpPr>
        <xdr:cNvPr id="102" name="楕円 101">
          <a:extLst>
            <a:ext uri="{FF2B5EF4-FFF2-40B4-BE49-F238E27FC236}">
              <a16:creationId xmlns:a16="http://schemas.microsoft.com/office/drawing/2014/main" id="{30589AA0-3DA9-4AD3-91BE-3A5BA0F5DA12}"/>
            </a:ext>
          </a:extLst>
        </xdr:cNvPr>
        <xdr:cNvSpPr/>
      </xdr:nvSpPr>
      <xdr:spPr>
        <a:xfrm>
          <a:off x="41101573" y="5394415"/>
          <a:ext cx="565516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178612</xdr:colOff>
      <xdr:row>56</xdr:row>
      <xdr:rowOff>120425</xdr:rowOff>
    </xdr:from>
    <xdr:to>
      <xdr:col>142</xdr:col>
      <xdr:colOff>69076</xdr:colOff>
      <xdr:row>59</xdr:row>
      <xdr:rowOff>51227</xdr:rowOff>
    </xdr:to>
    <xdr:sp macro="" textlink="">
      <xdr:nvSpPr>
        <xdr:cNvPr id="103" name="フリーフォーム: 図形 102">
          <a:extLst>
            <a:ext uri="{FF2B5EF4-FFF2-40B4-BE49-F238E27FC236}">
              <a16:creationId xmlns:a16="http://schemas.microsoft.com/office/drawing/2014/main" id="{3B9F0010-338A-45EA-9541-632554FF38BC}"/>
            </a:ext>
          </a:extLst>
        </xdr:cNvPr>
        <xdr:cNvSpPr/>
      </xdr:nvSpPr>
      <xdr:spPr>
        <a:xfrm>
          <a:off x="43381291" y="5291139"/>
          <a:ext cx="5891214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146</xdr:col>
      <xdr:colOff>334573</xdr:colOff>
      <xdr:row>57</xdr:row>
      <xdr:rowOff>19594</xdr:rowOff>
    </xdr:from>
    <xdr:to>
      <xdr:col>148</xdr:col>
      <xdr:colOff>219732</xdr:colOff>
      <xdr:row>59</xdr:row>
      <xdr:rowOff>104794</xdr:rowOff>
    </xdr:to>
    <xdr:sp macro="" textlink="">
      <xdr:nvSpPr>
        <xdr:cNvPr id="104" name="楕円 103">
          <a:extLst>
            <a:ext uri="{FF2B5EF4-FFF2-40B4-BE49-F238E27FC236}">
              <a16:creationId xmlns:a16="http://schemas.microsoft.com/office/drawing/2014/main" id="{87E81520-5A3C-446F-A9FC-19470ECF0892}"/>
            </a:ext>
          </a:extLst>
        </xdr:cNvPr>
        <xdr:cNvSpPr/>
      </xdr:nvSpPr>
      <xdr:spPr>
        <a:xfrm>
          <a:off x="50885109" y="5394415"/>
          <a:ext cx="592730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69076</xdr:colOff>
      <xdr:row>57</xdr:row>
      <xdr:rowOff>175080</xdr:rowOff>
    </xdr:from>
    <xdr:to>
      <xdr:col>62</xdr:col>
      <xdr:colOff>225717</xdr:colOff>
      <xdr:row>58</xdr:row>
      <xdr:rowOff>96211</xdr:rowOff>
    </xdr:to>
    <xdr:cxnSp macro="">
      <xdr:nvCxnSpPr>
        <xdr:cNvPr id="105" name="直線コネクタ 104">
          <a:extLst>
            <a:ext uri="{FF2B5EF4-FFF2-40B4-BE49-F238E27FC236}">
              <a16:creationId xmlns:a16="http://schemas.microsoft.com/office/drawing/2014/main" id="{76C01734-2314-4167-8608-38424DECDA96}"/>
            </a:ext>
          </a:extLst>
        </xdr:cNvPr>
        <xdr:cNvCxnSpPr>
          <a:stCxn id="98" idx="2"/>
          <a:endCxn id="97" idx="9"/>
        </xdr:cNvCxnSpPr>
      </xdr:nvCxnSpPr>
      <xdr:spPr>
        <a:xfrm flipH="1" flipV="1">
          <a:off x="20860790" y="5549901"/>
          <a:ext cx="1299641" cy="12523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110876</xdr:colOff>
      <xdr:row>58</xdr:row>
      <xdr:rowOff>18020</xdr:rowOff>
    </xdr:from>
    <xdr:to>
      <xdr:col>69</xdr:col>
      <xdr:colOff>178612</xdr:colOff>
      <xdr:row>58</xdr:row>
      <xdr:rowOff>96211</xdr:rowOff>
    </xdr:to>
    <xdr:cxnSp macro="">
      <xdr:nvCxnSpPr>
        <xdr:cNvPr id="106" name="直線コネクタ 105">
          <a:extLst>
            <a:ext uri="{FF2B5EF4-FFF2-40B4-BE49-F238E27FC236}">
              <a16:creationId xmlns:a16="http://schemas.microsoft.com/office/drawing/2014/main" id="{79EAA8B3-1AF0-4216-9E05-B2FA9536DDD0}"/>
            </a:ext>
          </a:extLst>
        </xdr:cNvPr>
        <xdr:cNvCxnSpPr>
          <a:stCxn id="99" idx="0"/>
          <a:endCxn id="98" idx="6"/>
        </xdr:cNvCxnSpPr>
      </xdr:nvCxnSpPr>
      <xdr:spPr>
        <a:xfrm flipH="1">
          <a:off x="22780376" y="5596949"/>
          <a:ext cx="1972736" cy="7819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69076</xdr:colOff>
      <xdr:row>57</xdr:row>
      <xdr:rowOff>175080</xdr:rowOff>
    </xdr:from>
    <xdr:to>
      <xdr:col>90</xdr:col>
      <xdr:colOff>113759</xdr:colOff>
      <xdr:row>58</xdr:row>
      <xdr:rowOff>68998</xdr:rowOff>
    </xdr:to>
    <xdr:cxnSp macro="">
      <xdr:nvCxnSpPr>
        <xdr:cNvPr id="107" name="直線コネクタ 106">
          <a:extLst>
            <a:ext uri="{FF2B5EF4-FFF2-40B4-BE49-F238E27FC236}">
              <a16:creationId xmlns:a16="http://schemas.microsoft.com/office/drawing/2014/main" id="{D1D2CAB5-23EA-4A95-B32B-F07706AEBEB8}"/>
            </a:ext>
          </a:extLst>
        </xdr:cNvPr>
        <xdr:cNvCxnSpPr>
          <a:stCxn id="100" idx="2"/>
          <a:endCxn id="99" idx="9"/>
        </xdr:cNvCxnSpPr>
      </xdr:nvCxnSpPr>
      <xdr:spPr>
        <a:xfrm flipH="1" flipV="1">
          <a:off x="29651005" y="11958866"/>
          <a:ext cx="1228504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32337</xdr:colOff>
      <xdr:row>58</xdr:row>
      <xdr:rowOff>18020</xdr:rowOff>
    </xdr:from>
    <xdr:to>
      <xdr:col>97</xdr:col>
      <xdr:colOff>178612</xdr:colOff>
      <xdr:row>58</xdr:row>
      <xdr:rowOff>68998</xdr:rowOff>
    </xdr:to>
    <xdr:cxnSp macro="">
      <xdr:nvCxnSpPr>
        <xdr:cNvPr id="108" name="直線コネクタ 107">
          <a:extLst>
            <a:ext uri="{FF2B5EF4-FFF2-40B4-BE49-F238E27FC236}">
              <a16:creationId xmlns:a16="http://schemas.microsoft.com/office/drawing/2014/main" id="{DA071EF2-BFED-4DFD-9C5D-AC62E20ED616}"/>
            </a:ext>
          </a:extLst>
        </xdr:cNvPr>
        <xdr:cNvCxnSpPr>
          <a:stCxn id="101" idx="0"/>
          <a:endCxn id="100" idx="6"/>
        </xdr:cNvCxnSpPr>
      </xdr:nvCxnSpPr>
      <xdr:spPr>
        <a:xfrm flipH="1">
          <a:off x="31396801" y="12005913"/>
          <a:ext cx="1738311" cy="5097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69076</xdr:colOff>
      <xdr:row>57</xdr:row>
      <xdr:rowOff>175080</xdr:rowOff>
    </xdr:from>
    <xdr:to>
      <xdr:col>118</xdr:col>
      <xdr:colOff>334573</xdr:colOff>
      <xdr:row>58</xdr:row>
      <xdr:rowOff>68997</xdr:rowOff>
    </xdr:to>
    <xdr:cxnSp macro="">
      <xdr:nvCxnSpPr>
        <xdr:cNvPr id="109" name="直線コネクタ 108">
          <a:extLst>
            <a:ext uri="{FF2B5EF4-FFF2-40B4-BE49-F238E27FC236}">
              <a16:creationId xmlns:a16="http://schemas.microsoft.com/office/drawing/2014/main" id="{1B23AE22-A840-428E-B86C-3D71AE9B340A}"/>
            </a:ext>
          </a:extLst>
        </xdr:cNvPr>
        <xdr:cNvCxnSpPr>
          <a:stCxn id="102" idx="2"/>
          <a:endCxn id="101" idx="9"/>
        </xdr:cNvCxnSpPr>
      </xdr:nvCxnSpPr>
      <xdr:spPr>
        <a:xfrm flipH="1" flipV="1">
          <a:off x="39638647" y="5549901"/>
          <a:ext cx="1462926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219732</xdr:colOff>
      <xdr:row>58</xdr:row>
      <xdr:rowOff>18020</xdr:rowOff>
    </xdr:from>
    <xdr:to>
      <xdr:col>125</xdr:col>
      <xdr:colOff>178612</xdr:colOff>
      <xdr:row>58</xdr:row>
      <xdr:rowOff>68997</xdr:rowOff>
    </xdr:to>
    <xdr:cxnSp macro="">
      <xdr:nvCxnSpPr>
        <xdr:cNvPr id="110" name="直線コネクタ 109">
          <a:extLst>
            <a:ext uri="{FF2B5EF4-FFF2-40B4-BE49-F238E27FC236}">
              <a16:creationId xmlns:a16="http://schemas.microsoft.com/office/drawing/2014/main" id="{156E54AB-D6F7-40D6-9091-209FB01DD4DA}"/>
            </a:ext>
          </a:extLst>
        </xdr:cNvPr>
        <xdr:cNvCxnSpPr>
          <a:stCxn id="103" idx="0"/>
          <a:endCxn id="102" idx="6"/>
        </xdr:cNvCxnSpPr>
      </xdr:nvCxnSpPr>
      <xdr:spPr>
        <a:xfrm flipH="1">
          <a:off x="41667089" y="5596949"/>
          <a:ext cx="1714202" cy="5097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142</xdr:col>
      <xdr:colOff>69076</xdr:colOff>
      <xdr:row>57</xdr:row>
      <xdr:rowOff>175080</xdr:rowOff>
    </xdr:from>
    <xdr:to>
      <xdr:col>146</xdr:col>
      <xdr:colOff>334573</xdr:colOff>
      <xdr:row>58</xdr:row>
      <xdr:rowOff>68997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110B18BA-FBDA-4D5B-AC92-094CDD92DF6C}"/>
            </a:ext>
          </a:extLst>
        </xdr:cNvPr>
        <xdr:cNvCxnSpPr>
          <a:stCxn id="104" idx="2"/>
          <a:endCxn id="103" idx="9"/>
        </xdr:cNvCxnSpPr>
      </xdr:nvCxnSpPr>
      <xdr:spPr>
        <a:xfrm flipH="1" flipV="1">
          <a:off x="49272505" y="5549901"/>
          <a:ext cx="1612604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152397</xdr:colOff>
      <xdr:row>38</xdr:row>
      <xdr:rowOff>133353</xdr:rowOff>
    </xdr:from>
    <xdr:to>
      <xdr:col>36</xdr:col>
      <xdr:colOff>238122</xdr:colOff>
      <xdr:row>53</xdr:row>
      <xdr:rowOff>95250</xdr:rowOff>
    </xdr:to>
    <xdr:sp macro="" textlink="">
      <xdr:nvSpPr>
        <xdr:cNvPr id="112" name="フリーフォーム: 図形 111">
          <a:extLst>
            <a:ext uri="{FF2B5EF4-FFF2-40B4-BE49-F238E27FC236}">
              <a16:creationId xmlns:a16="http://schemas.microsoft.com/office/drawing/2014/main" id="{5869F26C-6060-459D-B994-EC330920F147}"/>
            </a:ext>
          </a:extLst>
        </xdr:cNvPr>
        <xdr:cNvSpPr/>
      </xdr:nvSpPr>
      <xdr:spPr>
        <a:xfrm rot="5400000">
          <a:off x="2337026" y="9174617"/>
          <a:ext cx="3023504" cy="69804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152397</xdr:colOff>
      <xdr:row>38</xdr:row>
      <xdr:rowOff>133353</xdr:rowOff>
    </xdr:from>
    <xdr:to>
      <xdr:col>64</xdr:col>
      <xdr:colOff>238122</xdr:colOff>
      <xdr:row>53</xdr:row>
      <xdr:rowOff>95250</xdr:rowOff>
    </xdr:to>
    <xdr:sp macro="" textlink="">
      <xdr:nvSpPr>
        <xdr:cNvPr id="113" name="フリーフォーム: 図形 112">
          <a:extLst>
            <a:ext uri="{FF2B5EF4-FFF2-40B4-BE49-F238E27FC236}">
              <a16:creationId xmlns:a16="http://schemas.microsoft.com/office/drawing/2014/main" id="{2CB24EBF-5751-435A-BAEF-97D6B8EEC93F}"/>
            </a:ext>
          </a:extLst>
        </xdr:cNvPr>
        <xdr:cNvSpPr/>
      </xdr:nvSpPr>
      <xdr:spPr>
        <a:xfrm rot="5400000">
          <a:off x="2337026" y="9174617"/>
          <a:ext cx="3023504" cy="69804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152397</xdr:colOff>
      <xdr:row>38</xdr:row>
      <xdr:rowOff>133353</xdr:rowOff>
    </xdr:from>
    <xdr:to>
      <xdr:col>92</xdr:col>
      <xdr:colOff>238122</xdr:colOff>
      <xdr:row>53</xdr:row>
      <xdr:rowOff>95250</xdr:rowOff>
    </xdr:to>
    <xdr:sp macro="" textlink="">
      <xdr:nvSpPr>
        <xdr:cNvPr id="114" name="フリーフォーム: 図形 113">
          <a:extLst>
            <a:ext uri="{FF2B5EF4-FFF2-40B4-BE49-F238E27FC236}">
              <a16:creationId xmlns:a16="http://schemas.microsoft.com/office/drawing/2014/main" id="{E5707D8B-5E90-4C59-A6C6-51889B82C128}"/>
            </a:ext>
          </a:extLst>
        </xdr:cNvPr>
        <xdr:cNvSpPr/>
      </xdr:nvSpPr>
      <xdr:spPr>
        <a:xfrm rot="5400000">
          <a:off x="20849544" y="9181421"/>
          <a:ext cx="3023504" cy="684439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152397</xdr:colOff>
      <xdr:row>38</xdr:row>
      <xdr:rowOff>133353</xdr:rowOff>
    </xdr:from>
    <xdr:to>
      <xdr:col>120</xdr:col>
      <xdr:colOff>238122</xdr:colOff>
      <xdr:row>53</xdr:row>
      <xdr:rowOff>95250</xdr:rowOff>
    </xdr:to>
    <xdr:sp macro="" textlink="">
      <xdr:nvSpPr>
        <xdr:cNvPr id="115" name="フリーフォーム: 図形 114">
          <a:extLst>
            <a:ext uri="{FF2B5EF4-FFF2-40B4-BE49-F238E27FC236}">
              <a16:creationId xmlns:a16="http://schemas.microsoft.com/office/drawing/2014/main" id="{3D0F9EC2-99A9-4992-BC6E-4E0CD86DCE04}"/>
            </a:ext>
          </a:extLst>
        </xdr:cNvPr>
        <xdr:cNvSpPr/>
      </xdr:nvSpPr>
      <xdr:spPr>
        <a:xfrm rot="5400000">
          <a:off x="20849544" y="9181421"/>
          <a:ext cx="3023504" cy="684439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118015</xdr:colOff>
      <xdr:row>28</xdr:row>
      <xdr:rowOff>104794</xdr:rowOff>
    </xdr:from>
    <xdr:to>
      <xdr:col>35</xdr:col>
      <xdr:colOff>236331</xdr:colOff>
      <xdr:row>38</xdr:row>
      <xdr:rowOff>133353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E74B5DE9-B3FD-40D1-88A7-1A9150F15974}"/>
            </a:ext>
          </a:extLst>
        </xdr:cNvPr>
        <xdr:cNvCxnSpPr>
          <a:stCxn id="50" idx="4"/>
          <a:endCxn id="112" idx="0"/>
        </xdr:cNvCxnSpPr>
      </xdr:nvCxnSpPr>
      <xdr:spPr>
        <a:xfrm flipH="1">
          <a:off x="12799872" y="5901437"/>
          <a:ext cx="118316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161521</xdr:colOff>
      <xdr:row>28</xdr:row>
      <xdr:rowOff>132008</xdr:rowOff>
    </xdr:from>
    <xdr:to>
      <xdr:col>63</xdr:col>
      <xdr:colOff>168297</xdr:colOff>
      <xdr:row>38</xdr:row>
      <xdr:rowOff>133353</xdr:rowOff>
    </xdr:to>
    <xdr:cxnSp macro="">
      <xdr:nvCxnSpPr>
        <xdr:cNvPr id="120" name="直線コネクタ 119">
          <a:extLst>
            <a:ext uri="{FF2B5EF4-FFF2-40B4-BE49-F238E27FC236}">
              <a16:creationId xmlns:a16="http://schemas.microsoft.com/office/drawing/2014/main" id="{6C6C53AF-1B18-4608-A999-FF51CFCB7C8C}"/>
            </a:ext>
          </a:extLst>
        </xdr:cNvPr>
        <xdr:cNvCxnSpPr>
          <a:stCxn id="38" idx="4"/>
          <a:endCxn id="113" idx="0"/>
        </xdr:cNvCxnSpPr>
      </xdr:nvCxnSpPr>
      <xdr:spPr>
        <a:xfrm flipH="1">
          <a:off x="22327557" y="5928651"/>
          <a:ext cx="6776" cy="208323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180454</xdr:colOff>
      <xdr:row>53</xdr:row>
      <xdr:rowOff>95250</xdr:rowOff>
    </xdr:from>
    <xdr:to>
      <xdr:col>35</xdr:col>
      <xdr:colOff>236331</xdr:colOff>
      <xdr:row>57</xdr:row>
      <xdr:rowOff>19594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467F6127-EE88-4D3B-BE1E-4649EED29C49}"/>
            </a:ext>
          </a:extLst>
        </xdr:cNvPr>
        <xdr:cNvCxnSpPr>
          <a:stCxn id="112" idx="9"/>
          <a:endCxn id="95" idx="0"/>
        </xdr:cNvCxnSpPr>
      </xdr:nvCxnSpPr>
      <xdr:spPr>
        <a:xfrm>
          <a:off x="12862311" y="11035393"/>
          <a:ext cx="55877" cy="76798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168297</xdr:colOff>
      <xdr:row>53</xdr:row>
      <xdr:rowOff>95250</xdr:rowOff>
    </xdr:from>
    <xdr:to>
      <xdr:col>63</xdr:col>
      <xdr:colOff>219360</xdr:colOff>
      <xdr:row>57</xdr:row>
      <xdr:rowOff>46808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8C45D4FC-5281-4EAC-A61B-1819CFF3CB47}"/>
            </a:ext>
          </a:extLst>
        </xdr:cNvPr>
        <xdr:cNvCxnSpPr>
          <a:stCxn id="113" idx="9"/>
          <a:endCxn id="98" idx="0"/>
        </xdr:cNvCxnSpPr>
      </xdr:nvCxnSpPr>
      <xdr:spPr>
        <a:xfrm flipH="1">
          <a:off x="22334333" y="11035393"/>
          <a:ext cx="51063" cy="79520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73048</xdr:colOff>
      <xdr:row>28</xdr:row>
      <xdr:rowOff>91187</xdr:rowOff>
    </xdr:from>
    <xdr:to>
      <xdr:col>91</xdr:col>
      <xdr:colOff>161521</xdr:colOff>
      <xdr:row>38</xdr:row>
      <xdr:rowOff>133353</xdr:rowOff>
    </xdr:to>
    <xdr:cxnSp macro="">
      <xdr:nvCxnSpPr>
        <xdr:cNvPr id="130" name="直線コネクタ 129">
          <a:extLst>
            <a:ext uri="{FF2B5EF4-FFF2-40B4-BE49-F238E27FC236}">
              <a16:creationId xmlns:a16="http://schemas.microsoft.com/office/drawing/2014/main" id="{500F0BB6-7950-4924-9488-F762BEF356EA}"/>
            </a:ext>
          </a:extLst>
        </xdr:cNvPr>
        <xdr:cNvCxnSpPr>
          <a:stCxn id="40" idx="4"/>
          <a:endCxn id="114" idx="0"/>
        </xdr:cNvCxnSpPr>
      </xdr:nvCxnSpPr>
      <xdr:spPr>
        <a:xfrm>
          <a:off x="31138155" y="5887830"/>
          <a:ext cx="88473" cy="212405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164203</xdr:colOff>
      <xdr:row>28</xdr:row>
      <xdr:rowOff>104794</xdr:rowOff>
    </xdr:from>
    <xdr:to>
      <xdr:col>119</xdr:col>
      <xdr:colOff>248578</xdr:colOff>
      <xdr:row>38</xdr:row>
      <xdr:rowOff>133353</xdr:rowOff>
    </xdr:to>
    <xdr:cxnSp macro="">
      <xdr:nvCxnSpPr>
        <xdr:cNvPr id="133" name="直線コネクタ 132">
          <a:extLst>
            <a:ext uri="{FF2B5EF4-FFF2-40B4-BE49-F238E27FC236}">
              <a16:creationId xmlns:a16="http://schemas.microsoft.com/office/drawing/2014/main" id="{88FA36D5-3373-404A-9851-8EFEF1BEC51F}"/>
            </a:ext>
          </a:extLst>
        </xdr:cNvPr>
        <xdr:cNvCxnSpPr>
          <a:stCxn id="42" idx="4"/>
          <a:endCxn id="115" idx="0"/>
        </xdr:cNvCxnSpPr>
      </xdr:nvCxnSpPr>
      <xdr:spPr>
        <a:xfrm flipH="1">
          <a:off x="40400524" y="5901437"/>
          <a:ext cx="84375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73048</xdr:colOff>
      <xdr:row>53</xdr:row>
      <xdr:rowOff>95250</xdr:rowOff>
    </xdr:from>
    <xdr:to>
      <xdr:col>91</xdr:col>
      <xdr:colOff>219360</xdr:colOff>
      <xdr:row>57</xdr:row>
      <xdr:rowOff>19594</xdr:rowOff>
    </xdr:to>
    <xdr:cxnSp macro="">
      <xdr:nvCxnSpPr>
        <xdr:cNvPr id="136" name="直線コネクタ 135">
          <a:extLst>
            <a:ext uri="{FF2B5EF4-FFF2-40B4-BE49-F238E27FC236}">
              <a16:creationId xmlns:a16="http://schemas.microsoft.com/office/drawing/2014/main" id="{FE89B5E6-2BE1-4FA0-887E-FABE14F6D919}"/>
            </a:ext>
          </a:extLst>
        </xdr:cNvPr>
        <xdr:cNvCxnSpPr>
          <a:stCxn id="114" idx="9"/>
          <a:endCxn id="100" idx="0"/>
        </xdr:cNvCxnSpPr>
      </xdr:nvCxnSpPr>
      <xdr:spPr>
        <a:xfrm flipH="1">
          <a:off x="31138155" y="11035393"/>
          <a:ext cx="146312" cy="76798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217443</xdr:colOff>
      <xdr:row>53</xdr:row>
      <xdr:rowOff>95250</xdr:rowOff>
    </xdr:from>
    <xdr:to>
      <xdr:col>119</xdr:col>
      <xdr:colOff>248578</xdr:colOff>
      <xdr:row>57</xdr:row>
      <xdr:rowOff>19594</xdr:rowOff>
    </xdr:to>
    <xdr:cxnSp macro="">
      <xdr:nvCxnSpPr>
        <xdr:cNvPr id="139" name="直線コネクタ 138">
          <a:extLst>
            <a:ext uri="{FF2B5EF4-FFF2-40B4-BE49-F238E27FC236}">
              <a16:creationId xmlns:a16="http://schemas.microsoft.com/office/drawing/2014/main" id="{63A5774C-0E49-4B77-B313-086F5C8F9B0C}"/>
            </a:ext>
          </a:extLst>
        </xdr:cNvPr>
        <xdr:cNvCxnSpPr>
          <a:stCxn id="115" idx="9"/>
          <a:endCxn id="102" idx="0"/>
        </xdr:cNvCxnSpPr>
      </xdr:nvCxnSpPr>
      <xdr:spPr>
        <a:xfrm>
          <a:off x="40453764" y="11035393"/>
          <a:ext cx="31135" cy="76798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219732</xdr:colOff>
      <xdr:row>57</xdr:row>
      <xdr:rowOff>114019</xdr:rowOff>
    </xdr:from>
    <xdr:to>
      <xdr:col>153</xdr:col>
      <xdr:colOff>83881</xdr:colOff>
      <xdr:row>58</xdr:row>
      <xdr:rowOff>68998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D2B3D982-15BC-4122-B885-F6AA3753D6E7}"/>
            </a:ext>
          </a:extLst>
        </xdr:cNvPr>
        <xdr:cNvCxnSpPr>
          <a:stCxn id="149" idx="1"/>
          <a:endCxn id="104" idx="6"/>
        </xdr:cNvCxnSpPr>
      </xdr:nvCxnSpPr>
      <xdr:spPr>
        <a:xfrm flipH="1">
          <a:off x="50470911" y="11897805"/>
          <a:ext cx="1809970" cy="159086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152397</xdr:colOff>
      <xdr:row>69</xdr:row>
      <xdr:rowOff>133353</xdr:rowOff>
    </xdr:from>
    <xdr:to>
      <xdr:col>36</xdr:col>
      <xdr:colOff>238122</xdr:colOff>
      <xdr:row>84</xdr:row>
      <xdr:rowOff>95250</xdr:rowOff>
    </xdr:to>
    <xdr:sp macro="" textlink="">
      <xdr:nvSpPr>
        <xdr:cNvPr id="145" name="フリーフォーム: 図形 144">
          <a:extLst>
            <a:ext uri="{FF2B5EF4-FFF2-40B4-BE49-F238E27FC236}">
              <a16:creationId xmlns:a16="http://schemas.microsoft.com/office/drawing/2014/main" id="{7DB7F461-AC31-4D8E-8E6D-3BF62813650A}"/>
            </a:ext>
          </a:extLst>
        </xdr:cNvPr>
        <xdr:cNvSpPr/>
      </xdr:nvSpPr>
      <xdr:spPr>
        <a:xfrm rot="5400000">
          <a:off x="2337026" y="15583581"/>
          <a:ext cx="3023504" cy="69804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152397</xdr:colOff>
      <xdr:row>69</xdr:row>
      <xdr:rowOff>133353</xdr:rowOff>
    </xdr:from>
    <xdr:to>
      <xdr:col>64</xdr:col>
      <xdr:colOff>238122</xdr:colOff>
      <xdr:row>84</xdr:row>
      <xdr:rowOff>95250</xdr:rowOff>
    </xdr:to>
    <xdr:sp macro="" textlink="">
      <xdr:nvSpPr>
        <xdr:cNvPr id="146" name="フリーフォーム: 図形 145">
          <a:extLst>
            <a:ext uri="{FF2B5EF4-FFF2-40B4-BE49-F238E27FC236}">
              <a16:creationId xmlns:a16="http://schemas.microsoft.com/office/drawing/2014/main" id="{B56B8BEC-1258-4AD4-B4CA-0D798BE60C40}"/>
            </a:ext>
          </a:extLst>
        </xdr:cNvPr>
        <xdr:cNvSpPr/>
      </xdr:nvSpPr>
      <xdr:spPr>
        <a:xfrm rot="5400000">
          <a:off x="11324543" y="15563171"/>
          <a:ext cx="3023504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152397</xdr:colOff>
      <xdr:row>69</xdr:row>
      <xdr:rowOff>133353</xdr:rowOff>
    </xdr:from>
    <xdr:to>
      <xdr:col>92</xdr:col>
      <xdr:colOff>238122</xdr:colOff>
      <xdr:row>84</xdr:row>
      <xdr:rowOff>95250</xdr:rowOff>
    </xdr:to>
    <xdr:sp macro="" textlink="">
      <xdr:nvSpPr>
        <xdr:cNvPr id="147" name="フリーフォーム: 図形 146">
          <a:extLst>
            <a:ext uri="{FF2B5EF4-FFF2-40B4-BE49-F238E27FC236}">
              <a16:creationId xmlns:a16="http://schemas.microsoft.com/office/drawing/2014/main" id="{B54D594D-F105-479C-A5D8-0249E3FA2EAE}"/>
            </a:ext>
          </a:extLst>
        </xdr:cNvPr>
        <xdr:cNvSpPr/>
      </xdr:nvSpPr>
      <xdr:spPr>
        <a:xfrm rot="5400000">
          <a:off x="11324543" y="15563171"/>
          <a:ext cx="3023504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152397</xdr:colOff>
      <xdr:row>69</xdr:row>
      <xdr:rowOff>133353</xdr:rowOff>
    </xdr:from>
    <xdr:to>
      <xdr:col>120</xdr:col>
      <xdr:colOff>238122</xdr:colOff>
      <xdr:row>84</xdr:row>
      <xdr:rowOff>95250</xdr:rowOff>
    </xdr:to>
    <xdr:sp macro="" textlink="">
      <xdr:nvSpPr>
        <xdr:cNvPr id="148" name="フリーフォーム: 図形 147">
          <a:extLst>
            <a:ext uri="{FF2B5EF4-FFF2-40B4-BE49-F238E27FC236}">
              <a16:creationId xmlns:a16="http://schemas.microsoft.com/office/drawing/2014/main" id="{861FAF74-6C22-441D-AC9E-8C5950F61C72}"/>
            </a:ext>
          </a:extLst>
        </xdr:cNvPr>
        <xdr:cNvSpPr/>
      </xdr:nvSpPr>
      <xdr:spPr>
        <a:xfrm rot="5400000">
          <a:off x="11324543" y="15563171"/>
          <a:ext cx="3023504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83881</xdr:colOff>
      <xdr:row>56</xdr:row>
      <xdr:rowOff>146451</xdr:rowOff>
    </xdr:from>
    <xdr:to>
      <xdr:col>155</xdr:col>
      <xdr:colOff>358589</xdr:colOff>
      <xdr:row>58</xdr:row>
      <xdr:rowOff>81586</xdr:rowOff>
    </xdr:to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D13DBB45-D34F-457E-9204-5AA5B51675E8}"/>
            </a:ext>
          </a:extLst>
        </xdr:cNvPr>
        <xdr:cNvSpPr txBox="1"/>
      </xdr:nvSpPr>
      <xdr:spPr>
        <a:xfrm>
          <a:off x="52280881" y="5317165"/>
          <a:ext cx="1009494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 baseline="0"/>
            <a:t>Q </a:t>
          </a:r>
          <a:endParaRPr kumimoji="1" lang="ja-JP" altLang="en-US" sz="2000"/>
        </a:p>
      </xdr:txBody>
    </xdr:sp>
    <xdr:clientData/>
  </xdr:twoCellAnchor>
  <xdr:twoCellAnchor>
    <xdr:from>
      <xdr:col>34</xdr:col>
      <xdr:colOff>136812</xdr:colOff>
      <xdr:row>87</xdr:row>
      <xdr:rowOff>202481</xdr:rowOff>
    </xdr:from>
    <xdr:to>
      <xdr:col>36</xdr:col>
      <xdr:colOff>53686</xdr:colOff>
      <xdr:row>89</xdr:row>
      <xdr:rowOff>137616</xdr:rowOff>
    </xdr:to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69114CF2-BAFB-4DAB-A1EC-7EC249188DA1}"/>
            </a:ext>
          </a:extLst>
        </xdr:cNvPr>
        <xdr:cNvSpPr txBox="1"/>
      </xdr:nvSpPr>
      <xdr:spPr>
        <a:xfrm>
          <a:off x="3484169" y="24600088"/>
          <a:ext cx="529196" cy="34334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62</xdr:col>
      <xdr:colOff>136812</xdr:colOff>
      <xdr:row>87</xdr:row>
      <xdr:rowOff>202481</xdr:rowOff>
    </xdr:from>
    <xdr:to>
      <xdr:col>64</xdr:col>
      <xdr:colOff>53686</xdr:colOff>
      <xdr:row>89</xdr:row>
      <xdr:rowOff>137616</xdr:rowOff>
    </xdr:to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F152953F-1C55-48CD-A3FF-2503AF328782}"/>
            </a:ext>
          </a:extLst>
        </xdr:cNvPr>
        <xdr:cNvSpPr txBox="1"/>
      </xdr:nvSpPr>
      <xdr:spPr>
        <a:xfrm>
          <a:off x="12451276" y="24600088"/>
          <a:ext cx="570017" cy="34334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90</xdr:col>
      <xdr:colOff>136812</xdr:colOff>
      <xdr:row>87</xdr:row>
      <xdr:rowOff>202481</xdr:rowOff>
    </xdr:from>
    <xdr:to>
      <xdr:col>92</xdr:col>
      <xdr:colOff>53686</xdr:colOff>
      <xdr:row>89</xdr:row>
      <xdr:rowOff>137616</xdr:rowOff>
    </xdr:to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66A35D1D-657E-4B72-B093-234A4A945EBD}"/>
            </a:ext>
          </a:extLst>
        </xdr:cNvPr>
        <xdr:cNvSpPr txBox="1"/>
      </xdr:nvSpPr>
      <xdr:spPr>
        <a:xfrm>
          <a:off x="22003491" y="24600088"/>
          <a:ext cx="515588" cy="34334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118</xdr:col>
      <xdr:colOff>136812</xdr:colOff>
      <xdr:row>87</xdr:row>
      <xdr:rowOff>202481</xdr:rowOff>
    </xdr:from>
    <xdr:to>
      <xdr:col>120</xdr:col>
      <xdr:colOff>53686</xdr:colOff>
      <xdr:row>89</xdr:row>
      <xdr:rowOff>137616</xdr:rowOff>
    </xdr:to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B6E6F80D-16B4-4D58-9E53-090BDEB0AF43}"/>
            </a:ext>
          </a:extLst>
        </xdr:cNvPr>
        <xdr:cNvSpPr txBox="1"/>
      </xdr:nvSpPr>
      <xdr:spPr>
        <a:xfrm>
          <a:off x="30902562" y="24600088"/>
          <a:ext cx="515588" cy="34334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35</xdr:col>
      <xdr:colOff>118015</xdr:colOff>
      <xdr:row>59</xdr:row>
      <xdr:rowOff>104794</xdr:rowOff>
    </xdr:from>
    <xdr:to>
      <xdr:col>35</xdr:col>
      <xdr:colOff>236331</xdr:colOff>
      <xdr:row>69</xdr:row>
      <xdr:rowOff>133353</xdr:rowOff>
    </xdr:to>
    <xdr:cxnSp macro="">
      <xdr:nvCxnSpPr>
        <xdr:cNvPr id="167" name="直線コネクタ 166">
          <a:extLst>
            <a:ext uri="{FF2B5EF4-FFF2-40B4-BE49-F238E27FC236}">
              <a16:creationId xmlns:a16="http://schemas.microsoft.com/office/drawing/2014/main" id="{62E5853E-3BBE-47DB-88E4-D7323EAD889B}"/>
            </a:ext>
          </a:extLst>
        </xdr:cNvPr>
        <xdr:cNvCxnSpPr>
          <a:stCxn id="95" idx="4"/>
          <a:endCxn id="145" idx="0"/>
        </xdr:cNvCxnSpPr>
      </xdr:nvCxnSpPr>
      <xdr:spPr>
        <a:xfrm flipH="1">
          <a:off x="12799872" y="12310401"/>
          <a:ext cx="118316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161521</xdr:colOff>
      <xdr:row>59</xdr:row>
      <xdr:rowOff>132008</xdr:rowOff>
    </xdr:from>
    <xdr:to>
      <xdr:col>63</xdr:col>
      <xdr:colOff>168297</xdr:colOff>
      <xdr:row>69</xdr:row>
      <xdr:rowOff>133353</xdr:rowOff>
    </xdr:to>
    <xdr:cxnSp macro="">
      <xdr:nvCxnSpPr>
        <xdr:cNvPr id="170" name="直線コネクタ 169">
          <a:extLst>
            <a:ext uri="{FF2B5EF4-FFF2-40B4-BE49-F238E27FC236}">
              <a16:creationId xmlns:a16="http://schemas.microsoft.com/office/drawing/2014/main" id="{B8D3B717-1F1E-4E1D-96EE-59EEAD9C3DF9}"/>
            </a:ext>
          </a:extLst>
        </xdr:cNvPr>
        <xdr:cNvCxnSpPr>
          <a:stCxn id="98" idx="4"/>
          <a:endCxn id="146" idx="0"/>
        </xdr:cNvCxnSpPr>
      </xdr:nvCxnSpPr>
      <xdr:spPr>
        <a:xfrm flipH="1">
          <a:off x="22327557" y="12337615"/>
          <a:ext cx="6776" cy="208323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73048</xdr:colOff>
      <xdr:row>59</xdr:row>
      <xdr:rowOff>104794</xdr:rowOff>
    </xdr:from>
    <xdr:to>
      <xdr:col>91</xdr:col>
      <xdr:colOff>161521</xdr:colOff>
      <xdr:row>69</xdr:row>
      <xdr:rowOff>133353</xdr:rowOff>
    </xdr:to>
    <xdr:cxnSp macro="">
      <xdr:nvCxnSpPr>
        <xdr:cNvPr id="173" name="直線コネクタ 172">
          <a:extLst>
            <a:ext uri="{FF2B5EF4-FFF2-40B4-BE49-F238E27FC236}">
              <a16:creationId xmlns:a16="http://schemas.microsoft.com/office/drawing/2014/main" id="{2395AA89-116C-4CD3-A4CB-831ED65F2A5B}"/>
            </a:ext>
          </a:extLst>
        </xdr:cNvPr>
        <xdr:cNvCxnSpPr>
          <a:stCxn id="100" idx="4"/>
          <a:endCxn id="147" idx="0"/>
        </xdr:cNvCxnSpPr>
      </xdr:nvCxnSpPr>
      <xdr:spPr>
        <a:xfrm>
          <a:off x="31138155" y="12310401"/>
          <a:ext cx="88473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164203</xdr:colOff>
      <xdr:row>59</xdr:row>
      <xdr:rowOff>104794</xdr:rowOff>
    </xdr:from>
    <xdr:to>
      <xdr:col>119</xdr:col>
      <xdr:colOff>248578</xdr:colOff>
      <xdr:row>69</xdr:row>
      <xdr:rowOff>133353</xdr:rowOff>
    </xdr:to>
    <xdr:cxnSp macro="">
      <xdr:nvCxnSpPr>
        <xdr:cNvPr id="177" name="直線コネクタ 176">
          <a:extLst>
            <a:ext uri="{FF2B5EF4-FFF2-40B4-BE49-F238E27FC236}">
              <a16:creationId xmlns:a16="http://schemas.microsoft.com/office/drawing/2014/main" id="{F9D140B7-CA6B-4091-BC87-67DA0875E1D2}"/>
            </a:ext>
          </a:extLst>
        </xdr:cNvPr>
        <xdr:cNvCxnSpPr>
          <a:stCxn id="102" idx="4"/>
          <a:endCxn id="148" idx="0"/>
        </xdr:cNvCxnSpPr>
      </xdr:nvCxnSpPr>
      <xdr:spPr>
        <a:xfrm flipH="1">
          <a:off x="40400524" y="12310401"/>
          <a:ext cx="84375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60613</xdr:colOff>
      <xdr:row>84</xdr:row>
      <xdr:rowOff>95250</xdr:rowOff>
    </xdr:from>
    <xdr:to>
      <xdr:col>35</xdr:col>
      <xdr:colOff>186814</xdr:colOff>
      <xdr:row>87</xdr:row>
      <xdr:rowOff>202481</xdr:rowOff>
    </xdr:to>
    <xdr:cxnSp macro="">
      <xdr:nvCxnSpPr>
        <xdr:cNvPr id="180" name="直線コネクタ 179">
          <a:extLst>
            <a:ext uri="{FF2B5EF4-FFF2-40B4-BE49-F238E27FC236}">
              <a16:creationId xmlns:a16="http://schemas.microsoft.com/office/drawing/2014/main" id="{D2D26E05-B54D-4EEF-9272-72AEDF89C945}"/>
            </a:ext>
          </a:extLst>
        </xdr:cNvPr>
        <xdr:cNvCxnSpPr>
          <a:cxnSpLocks/>
          <a:stCxn id="145" idx="9"/>
          <a:endCxn id="163" idx="0"/>
        </xdr:cNvCxnSpPr>
      </xdr:nvCxnSpPr>
      <xdr:spPr>
        <a:xfrm flipH="1">
          <a:off x="12633613" y="17811750"/>
          <a:ext cx="126201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95249</xdr:colOff>
      <xdr:row>84</xdr:row>
      <xdr:rowOff>95250</xdr:rowOff>
    </xdr:from>
    <xdr:to>
      <xdr:col>63</xdr:col>
      <xdr:colOff>219012</xdr:colOff>
      <xdr:row>87</xdr:row>
      <xdr:rowOff>202481</xdr:rowOff>
    </xdr:to>
    <xdr:cxnSp macro="">
      <xdr:nvCxnSpPr>
        <xdr:cNvPr id="183" name="直線コネクタ 182">
          <a:extLst>
            <a:ext uri="{FF2B5EF4-FFF2-40B4-BE49-F238E27FC236}">
              <a16:creationId xmlns:a16="http://schemas.microsoft.com/office/drawing/2014/main" id="{9855BEB9-5856-4303-BFC1-1D1B8DD7AC0F}"/>
            </a:ext>
          </a:extLst>
        </xdr:cNvPr>
        <xdr:cNvCxnSpPr>
          <a:cxnSpLocks/>
          <a:stCxn id="146" idx="9"/>
          <a:endCxn id="164" idx="0"/>
        </xdr:cNvCxnSpPr>
      </xdr:nvCxnSpPr>
      <xdr:spPr>
        <a:xfrm flipH="1">
          <a:off x="22123976" y="17811750"/>
          <a:ext cx="123763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95249</xdr:colOff>
      <xdr:row>84</xdr:row>
      <xdr:rowOff>95250</xdr:rowOff>
    </xdr:from>
    <xdr:to>
      <xdr:col>91</xdr:col>
      <xdr:colOff>220232</xdr:colOff>
      <xdr:row>87</xdr:row>
      <xdr:rowOff>202481</xdr:rowOff>
    </xdr:to>
    <xdr:cxnSp macro="">
      <xdr:nvCxnSpPr>
        <xdr:cNvPr id="186" name="直線コネクタ 185">
          <a:extLst>
            <a:ext uri="{FF2B5EF4-FFF2-40B4-BE49-F238E27FC236}">
              <a16:creationId xmlns:a16="http://schemas.microsoft.com/office/drawing/2014/main" id="{B866F70E-4832-46FF-9E29-982D2387C899}"/>
            </a:ext>
          </a:extLst>
        </xdr:cNvPr>
        <xdr:cNvCxnSpPr>
          <a:cxnSpLocks/>
          <a:stCxn id="147" idx="9"/>
          <a:endCxn id="165" idx="0"/>
        </xdr:cNvCxnSpPr>
      </xdr:nvCxnSpPr>
      <xdr:spPr>
        <a:xfrm flipH="1">
          <a:off x="31164067" y="17811750"/>
          <a:ext cx="124983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95249</xdr:colOff>
      <xdr:row>84</xdr:row>
      <xdr:rowOff>95250</xdr:rowOff>
    </xdr:from>
    <xdr:to>
      <xdr:col>119</xdr:col>
      <xdr:colOff>217792</xdr:colOff>
      <xdr:row>87</xdr:row>
      <xdr:rowOff>202481</xdr:rowOff>
    </xdr:to>
    <xdr:cxnSp macro="">
      <xdr:nvCxnSpPr>
        <xdr:cNvPr id="189" name="直線コネクタ 188">
          <a:extLst>
            <a:ext uri="{FF2B5EF4-FFF2-40B4-BE49-F238E27FC236}">
              <a16:creationId xmlns:a16="http://schemas.microsoft.com/office/drawing/2014/main" id="{1F883B57-60A1-4CA4-969C-B70EBD42B7E9}"/>
            </a:ext>
          </a:extLst>
        </xdr:cNvPr>
        <xdr:cNvCxnSpPr>
          <a:cxnSpLocks/>
          <a:stCxn id="148" idx="9"/>
          <a:endCxn id="166" idx="0"/>
        </xdr:cNvCxnSpPr>
      </xdr:nvCxnSpPr>
      <xdr:spPr>
        <a:xfrm flipH="1">
          <a:off x="40325385" y="17811750"/>
          <a:ext cx="122543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209547</xdr:colOff>
      <xdr:row>2</xdr:row>
      <xdr:rowOff>133353</xdr:rowOff>
    </xdr:from>
    <xdr:to>
      <xdr:col>6</xdr:col>
      <xdr:colOff>352422</xdr:colOff>
      <xdr:row>17</xdr:row>
      <xdr:rowOff>95250</xdr:rowOff>
    </xdr:to>
    <xdr:sp macro="" textlink="">
      <xdr:nvSpPr>
        <xdr:cNvPr id="7" name="フリーフォーム: 図形 6">
          <a:extLst>
            <a:ext uri="{FF2B5EF4-FFF2-40B4-BE49-F238E27FC236}">
              <a16:creationId xmlns:a16="http://schemas.microsoft.com/office/drawing/2014/main" id="{7D9A1CF6-2AD1-490B-844B-9AAE704D72A6}"/>
            </a:ext>
          </a:extLst>
        </xdr:cNvPr>
        <xdr:cNvSpPr/>
      </xdr:nvSpPr>
      <xdr:spPr>
        <a:xfrm rot="5400000">
          <a:off x="985836" y="1785939"/>
          <a:ext cx="3124197" cy="676275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176211</xdr:colOff>
      <xdr:row>2</xdr:row>
      <xdr:rowOff>147640</xdr:rowOff>
    </xdr:from>
    <xdr:to>
      <xdr:col>28</xdr:col>
      <xdr:colOff>66675</xdr:colOff>
      <xdr:row>5</xdr:row>
      <xdr:rowOff>85726</xdr:rowOff>
    </xdr:to>
    <xdr:sp macro="" textlink="">
      <xdr:nvSpPr>
        <xdr:cNvPr id="8" name="フリーフォーム: 図形 7">
          <a:extLst>
            <a:ext uri="{FF2B5EF4-FFF2-40B4-BE49-F238E27FC236}">
              <a16:creationId xmlns:a16="http://schemas.microsoft.com/office/drawing/2014/main" id="{868D7794-9EFA-49C3-9D9F-0E2E7E937471}"/>
            </a:ext>
          </a:extLst>
        </xdr:cNvPr>
        <xdr:cNvSpPr/>
      </xdr:nvSpPr>
      <xdr:spPr>
        <a:xfrm>
          <a:off x="5310186" y="576265"/>
          <a:ext cx="6253164" cy="566736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307210</xdr:colOff>
      <xdr:row>21</xdr:row>
      <xdr:rowOff>901</xdr:rowOff>
    </xdr:from>
    <xdr:to>
      <xdr:col>6</xdr:col>
      <xdr:colOff>235715</xdr:colOff>
      <xdr:row>23</xdr:row>
      <xdr:rowOff>37200</xdr:rowOff>
    </xdr:to>
    <xdr:sp macro="" textlink="">
      <xdr:nvSpPr>
        <xdr:cNvPr id="9" name="楕円 8">
          <a:extLst>
            <a:ext uri="{FF2B5EF4-FFF2-40B4-BE49-F238E27FC236}">
              <a16:creationId xmlns:a16="http://schemas.microsoft.com/office/drawing/2014/main" id="{8090349B-2EAF-4AA7-A644-117CFD785BB8}"/>
            </a:ext>
          </a:extLst>
        </xdr:cNvPr>
        <xdr:cNvSpPr/>
      </xdr:nvSpPr>
      <xdr:spPr>
        <a:xfrm>
          <a:off x="2307460" y="4449076"/>
          <a:ext cx="461905" cy="455399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136812</xdr:colOff>
      <xdr:row>26</xdr:row>
      <xdr:rowOff>180069</xdr:rowOff>
    </xdr:from>
    <xdr:to>
      <xdr:col>6</xdr:col>
      <xdr:colOff>53686</xdr:colOff>
      <xdr:row>28</xdr:row>
      <xdr:rowOff>115204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40E2A0BA-4582-4EEA-A823-C587395C974B}"/>
            </a:ext>
          </a:extLst>
        </xdr:cNvPr>
        <xdr:cNvSpPr txBox="1"/>
      </xdr:nvSpPr>
      <xdr:spPr>
        <a:xfrm>
          <a:off x="2137062" y="5695044"/>
          <a:ext cx="450274" cy="354235"/>
        </a:xfrm>
        <a:prstGeom prst="rect">
          <a:avLst/>
        </a:prstGeom>
        <a:solidFill>
          <a:srgbClr val="FFC000">
            <a:alpha val="20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4</xdr:col>
      <xdr:colOff>128704</xdr:colOff>
      <xdr:row>31</xdr:row>
      <xdr:rowOff>180069</xdr:rowOff>
    </xdr:from>
    <xdr:to>
      <xdr:col>6</xdr:col>
      <xdr:colOff>4644</xdr:colOff>
      <xdr:row>33</xdr:row>
      <xdr:rowOff>115204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C573F3FC-86EE-4E38-8B67-974AF12B30FE}"/>
            </a:ext>
          </a:extLst>
        </xdr:cNvPr>
        <xdr:cNvSpPr txBox="1"/>
      </xdr:nvSpPr>
      <xdr:spPr>
        <a:xfrm>
          <a:off x="2128954" y="6761844"/>
          <a:ext cx="409340" cy="354235"/>
        </a:xfrm>
        <a:prstGeom prst="rect">
          <a:avLst/>
        </a:prstGeom>
        <a:solidFill>
          <a:srgbClr val="FFC000">
            <a:alpha val="20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 baseline="0"/>
            <a:t>Q </a:t>
          </a:r>
          <a:endParaRPr kumimoji="1" lang="ja-JP" alt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AD702-2FC9-49DB-9D36-4C9189D8CD22}">
  <sheetPr codeName="Sheet3">
    <tabColor rgb="FFFFFF00"/>
  </sheetPr>
  <dimension ref="F2:FC90"/>
  <sheetViews>
    <sheetView topLeftCell="DH19" zoomScale="85" zoomScaleNormal="85" workbookViewId="0">
      <selection activeCell="J28" sqref="J28"/>
    </sheetView>
  </sheetViews>
  <sheetFormatPr defaultRowHeight="16.5" x14ac:dyDescent="0.35"/>
  <cols>
    <col min="6" max="7" width="4.28515625" customWidth="1"/>
    <col min="8" max="8" width="4.85546875" customWidth="1"/>
    <col min="9" max="9" width="9.28515625" customWidth="1"/>
    <col min="10" max="10" width="6.5703125" customWidth="1"/>
    <col min="11" max="11" width="3.85546875" customWidth="1"/>
    <col min="12" max="13" width="4.140625" customWidth="1"/>
    <col min="14" max="15" width="4.42578125" customWidth="1"/>
    <col min="16" max="16" width="3.28515625" customWidth="1"/>
    <col min="17" max="17" width="6.28515625" customWidth="1"/>
    <col min="18" max="18" width="7.85546875" customWidth="1"/>
    <col min="19" max="21" width="4" customWidth="1"/>
    <col min="22" max="22" width="3.42578125" customWidth="1"/>
    <col min="23" max="23" width="6.28515625" customWidth="1"/>
    <col min="24" max="24" width="6.85546875" customWidth="1"/>
    <col min="25" max="27" width="4.42578125" customWidth="1"/>
    <col min="28" max="28" width="2.5703125" customWidth="1"/>
    <col min="29" max="29" width="5.5703125" customWidth="1"/>
    <col min="30" max="30" width="6.28515625" customWidth="1"/>
    <col min="31" max="31" width="4.140625" customWidth="1"/>
    <col min="32" max="33" width="3.85546875" customWidth="1"/>
    <col min="34" max="34" width="4.42578125" customWidth="1"/>
    <col min="35" max="35" width="5.5703125" customWidth="1"/>
    <col min="36" max="36" width="4.28515625" customWidth="1"/>
    <col min="37" max="38" width="7.140625" customWidth="1"/>
    <col min="39" max="41" width="4" customWidth="1"/>
    <col min="42" max="43" width="3.140625" customWidth="1"/>
    <col min="44" max="44" width="5.7109375" customWidth="1"/>
    <col min="45" max="45" width="5.28515625" customWidth="1"/>
    <col min="46" max="46" width="6.140625" customWidth="1"/>
    <col min="47" max="47" width="3.7109375" customWidth="1"/>
    <col min="48" max="49" width="4.7109375" customWidth="1"/>
    <col min="50" max="50" width="6.85546875" customWidth="1"/>
    <col min="51" max="51" width="6.42578125" customWidth="1"/>
    <col min="52" max="52" width="8.140625" customWidth="1"/>
    <col min="53" max="55" width="4.28515625" customWidth="1"/>
    <col min="56" max="57" width="6.28515625" customWidth="1"/>
    <col min="58" max="58" width="7.28515625" customWidth="1"/>
    <col min="59" max="61" width="3.85546875" customWidth="1"/>
    <col min="62" max="65" width="4.42578125" customWidth="1"/>
    <col min="67" max="69" width="3.5703125" customWidth="1"/>
    <col min="70" max="73" width="4.28515625" customWidth="1"/>
    <col min="74" max="74" width="7.7109375" customWidth="1"/>
    <col min="75" max="79" width="4.28515625" customWidth="1"/>
    <col min="80" max="80" width="7.140625" customWidth="1"/>
    <col min="81" max="85" width="4.28515625" customWidth="1"/>
    <col min="86" max="86" width="7.140625" customWidth="1"/>
    <col min="87" max="87" width="4.28515625" customWidth="1"/>
    <col min="88" max="89" width="4.42578125" customWidth="1"/>
    <col min="90" max="93" width="4.5703125" customWidth="1"/>
    <col min="94" max="94" width="7" customWidth="1"/>
    <col min="95" max="95" width="5.42578125" customWidth="1"/>
    <col min="96" max="97" width="3.42578125" customWidth="1"/>
    <col min="98" max="101" width="4.7109375" customWidth="1"/>
    <col min="102" max="102" width="7.140625" customWidth="1"/>
    <col min="103" max="107" width="4.7109375" customWidth="1"/>
    <col min="108" max="108" width="7.7109375" customWidth="1"/>
    <col min="109" max="113" width="4.7109375" customWidth="1"/>
    <col min="114" max="114" width="7.5703125" customWidth="1"/>
    <col min="115" max="115" width="4.7109375" customWidth="1"/>
    <col min="116" max="117" width="4" customWidth="1"/>
    <col min="118" max="121" width="4.140625" customWidth="1"/>
    <col min="122" max="122" width="8.42578125" customWidth="1"/>
    <col min="123" max="123" width="5" customWidth="1"/>
    <col min="124" max="125" width="3.85546875" customWidth="1"/>
    <col min="126" max="129" width="4.7109375" customWidth="1"/>
    <col min="130" max="130" width="7.42578125" customWidth="1"/>
    <col min="131" max="135" width="4.7109375" customWidth="1"/>
    <col min="136" max="136" width="8.42578125" customWidth="1"/>
    <col min="137" max="141" width="4.7109375" customWidth="1"/>
    <col min="142" max="142" width="8.5703125" customWidth="1"/>
    <col min="143" max="143" width="4.7109375" customWidth="1"/>
    <col min="144" max="145" width="5.140625" customWidth="1"/>
    <col min="146" max="149" width="5.28515625" customWidth="1"/>
    <col min="150" max="150" width="8.7109375" customWidth="1"/>
    <col min="151" max="151" width="5.28515625" customWidth="1"/>
    <col min="152" max="153" width="4.85546875" customWidth="1"/>
    <col min="154" max="157" width="5.5703125" customWidth="1"/>
    <col min="158" max="158" width="8.85546875" customWidth="1"/>
    <col min="159" max="159" width="5.5703125" customWidth="1"/>
  </cols>
  <sheetData>
    <row r="2" spans="6:123" ht="27" customHeight="1" thickBot="1" x14ac:dyDescent="0.4"/>
    <row r="3" spans="6:123" x14ac:dyDescent="0.35">
      <c r="F3" s="12" t="s">
        <v>117</v>
      </c>
      <c r="G3" s="13"/>
      <c r="H3" s="14"/>
      <c r="I3" s="14"/>
      <c r="J3" s="14"/>
      <c r="K3" s="38" t="s">
        <v>69</v>
      </c>
      <c r="AH3" s="12" t="s">
        <v>118</v>
      </c>
      <c r="AI3" s="13"/>
      <c r="AJ3" s="14"/>
      <c r="AK3" s="14"/>
      <c r="AL3" s="14"/>
      <c r="AM3" s="38" t="s">
        <v>69</v>
      </c>
      <c r="BJ3" s="12" t="s">
        <v>119</v>
      </c>
      <c r="BK3" s="13"/>
      <c r="BL3" s="14"/>
      <c r="BM3" s="14"/>
      <c r="BN3" s="14"/>
      <c r="BO3" s="38" t="s">
        <v>69</v>
      </c>
      <c r="CL3" s="12" t="s">
        <v>120</v>
      </c>
      <c r="CM3" s="13"/>
      <c r="CN3" s="14"/>
      <c r="CO3" s="14"/>
      <c r="CP3" s="14"/>
      <c r="CQ3" s="38" t="s">
        <v>69</v>
      </c>
      <c r="DN3" s="12" t="s">
        <v>121</v>
      </c>
      <c r="DO3" s="13"/>
      <c r="DP3" s="14"/>
      <c r="DQ3" s="14"/>
      <c r="DR3" s="14"/>
      <c r="DS3" s="38" t="s">
        <v>69</v>
      </c>
    </row>
    <row r="4" spans="6:123" x14ac:dyDescent="0.35">
      <c r="F4" s="30" t="str">
        <f>F3</f>
        <v>BoundaryCondition_temperature[1][1]</v>
      </c>
      <c r="G4" s="31" t="str">
        <f>F4&amp;"."&amp;I4</f>
        <v>BoundaryCondition_temperature[1][1].T[K]</v>
      </c>
      <c r="H4" s="15" t="s">
        <v>87</v>
      </c>
      <c r="I4" s="15" t="s">
        <v>67</v>
      </c>
      <c r="J4" s="42">
        <v>1800</v>
      </c>
      <c r="K4" s="17"/>
      <c r="AH4" s="30" t="str">
        <f>AH3</f>
        <v>BoundaryCondition_temperature[1][2]</v>
      </c>
      <c r="AI4" s="31" t="str">
        <f>AH4&amp;"."&amp;AK4</f>
        <v>BoundaryCondition_temperature[1][2].T[K]</v>
      </c>
      <c r="AJ4" s="15" t="s">
        <v>87</v>
      </c>
      <c r="AK4" s="15" t="s">
        <v>67</v>
      </c>
      <c r="AL4" s="42">
        <f>J4-100</f>
        <v>1700</v>
      </c>
      <c r="AM4" s="17"/>
      <c r="BJ4" s="30" t="str">
        <f>BJ3</f>
        <v>BoundaryCondition_temperature[1][3]</v>
      </c>
      <c r="BK4" s="31" t="str">
        <f>BJ4&amp;"."&amp;BM4</f>
        <v>BoundaryCondition_temperature[1][3].T[K]</v>
      </c>
      <c r="BL4" s="15" t="s">
        <v>87</v>
      </c>
      <c r="BM4" s="15" t="s">
        <v>67</v>
      </c>
      <c r="BN4" s="42">
        <f>AL4-100</f>
        <v>1600</v>
      </c>
      <c r="BO4" s="17"/>
      <c r="CL4" s="30" t="str">
        <f>CL3</f>
        <v>BoundaryCondition_temperature[1][4]</v>
      </c>
      <c r="CM4" s="31" t="str">
        <f>CL4&amp;"."&amp;CO4</f>
        <v>BoundaryCondition_temperature[1][4].T[K]</v>
      </c>
      <c r="CN4" s="15" t="s">
        <v>87</v>
      </c>
      <c r="CO4" s="15" t="s">
        <v>67</v>
      </c>
      <c r="CP4" s="42">
        <f>BN4-100</f>
        <v>1500</v>
      </c>
      <c r="CQ4" s="17"/>
      <c r="DN4" s="30" t="str">
        <f>DN3</f>
        <v>BoundaryCondition_temperature[1][5]</v>
      </c>
      <c r="DO4" s="31" t="str">
        <f>DN4&amp;"."&amp;DQ4</f>
        <v>BoundaryCondition_temperature[1][5].T[K]</v>
      </c>
      <c r="DP4" s="15" t="s">
        <v>87</v>
      </c>
      <c r="DQ4" s="15" t="s">
        <v>67</v>
      </c>
      <c r="DR4" s="42">
        <f>CP4-100</f>
        <v>1400</v>
      </c>
      <c r="DS4" s="17"/>
    </row>
    <row r="5" spans="6:123" ht="17.25" thickBot="1" x14ac:dyDescent="0.4">
      <c r="F5" s="37" t="s">
        <v>69</v>
      </c>
      <c r="G5" s="18"/>
      <c r="H5" s="40"/>
      <c r="I5" s="40"/>
      <c r="J5" s="18"/>
      <c r="K5" s="39" t="s">
        <v>69</v>
      </c>
      <c r="AH5" s="37" t="s">
        <v>69</v>
      </c>
      <c r="AI5" s="18"/>
      <c r="AJ5" s="40"/>
      <c r="AK5" s="40"/>
      <c r="AL5" s="18"/>
      <c r="AM5" s="39" t="s">
        <v>69</v>
      </c>
      <c r="BJ5" s="37" t="s">
        <v>69</v>
      </c>
      <c r="BK5" s="18"/>
      <c r="BL5" s="40"/>
      <c r="BM5" s="40"/>
      <c r="BN5" s="18"/>
      <c r="BO5" s="39" t="s">
        <v>69</v>
      </c>
      <c r="CL5" s="37" t="s">
        <v>69</v>
      </c>
      <c r="CM5" s="18"/>
      <c r="CN5" s="40"/>
      <c r="CO5" s="40"/>
      <c r="CP5" s="18"/>
      <c r="CQ5" s="39" t="s">
        <v>69</v>
      </c>
      <c r="DN5" s="37" t="s">
        <v>69</v>
      </c>
      <c r="DO5" s="18"/>
      <c r="DP5" s="40"/>
      <c r="DQ5" s="40"/>
      <c r="DR5" s="18"/>
      <c r="DS5" s="39" t="s">
        <v>69</v>
      </c>
    </row>
    <row r="7" spans="6:123" ht="17.25" thickBot="1" x14ac:dyDescent="0.4"/>
    <row r="8" spans="6:123" x14ac:dyDescent="0.35">
      <c r="F8" s="12" t="s">
        <v>80</v>
      </c>
      <c r="G8" s="13"/>
      <c r="H8" s="14"/>
      <c r="I8" s="14"/>
      <c r="J8" s="14"/>
      <c r="K8" s="38" t="s">
        <v>69</v>
      </c>
      <c r="AH8" s="12" t="s">
        <v>113</v>
      </c>
      <c r="AI8" s="13"/>
      <c r="AJ8" s="14"/>
      <c r="AK8" s="14"/>
      <c r="AL8" s="14"/>
      <c r="AM8" s="38" t="s">
        <v>69</v>
      </c>
      <c r="BJ8" s="12" t="s">
        <v>115</v>
      </c>
      <c r="BK8" s="13"/>
      <c r="BL8" s="14"/>
      <c r="BM8" s="14"/>
      <c r="BN8" s="14"/>
      <c r="BO8" s="38" t="s">
        <v>69</v>
      </c>
      <c r="CL8" s="12" t="s">
        <v>114</v>
      </c>
      <c r="CM8" s="13"/>
      <c r="CN8" s="14"/>
      <c r="CO8" s="14"/>
      <c r="CP8" s="14"/>
      <c r="CQ8" s="38" t="s">
        <v>69</v>
      </c>
      <c r="DN8" s="12" t="s">
        <v>116</v>
      </c>
      <c r="DO8" s="13"/>
      <c r="DP8" s="14"/>
      <c r="DQ8" s="14"/>
      <c r="DR8" s="14"/>
      <c r="DS8" s="38" t="s">
        <v>69</v>
      </c>
    </row>
    <row r="9" spans="6:123" x14ac:dyDescent="0.35">
      <c r="F9" s="30" t="str">
        <f>F8</f>
        <v>Conduction_longi[1][1]</v>
      </c>
      <c r="G9" s="31" t="str">
        <f>F9&amp;"."&amp;I9</f>
        <v>Conduction_longi[1][1].Q1in[W]</v>
      </c>
      <c r="H9" s="15" t="s">
        <v>89</v>
      </c>
      <c r="I9" s="15" t="s">
        <v>62</v>
      </c>
      <c r="J9" s="29">
        <f>J17</f>
        <v>50053.673666162831</v>
      </c>
      <c r="K9" s="17"/>
      <c r="AH9" s="30" t="str">
        <f>AH8</f>
        <v>Conduction_longi[1][2]</v>
      </c>
      <c r="AI9" s="31" t="str">
        <f>AH9&amp;"."&amp;AK9</f>
        <v>Conduction_longi[1][2].Q1in[W]</v>
      </c>
      <c r="AJ9" s="15" t="s">
        <v>89</v>
      </c>
      <c r="AK9" s="15" t="s">
        <v>62</v>
      </c>
      <c r="AL9" s="29">
        <f>AL17</f>
        <v>46539.400544191725</v>
      </c>
      <c r="AM9" s="17"/>
      <c r="BJ9" s="30" t="str">
        <f>BJ8</f>
        <v>Conduction_longi[1][3]</v>
      </c>
      <c r="BK9" s="31" t="str">
        <f>BJ9&amp;"."&amp;BM9</f>
        <v>Conduction_longi[1][3].Q1in[W]</v>
      </c>
      <c r="BL9" s="15" t="s">
        <v>89</v>
      </c>
      <c r="BM9" s="15" t="s">
        <v>62</v>
      </c>
      <c r="BN9" s="29">
        <f>BN17</f>
        <v>33591.620627138152</v>
      </c>
      <c r="BO9" s="17"/>
      <c r="CL9" s="30" t="str">
        <f>CL8</f>
        <v>Conduction_longi[1][4]</v>
      </c>
      <c r="CM9" s="31" t="str">
        <f>CL9&amp;"."&amp;CO9</f>
        <v>Conduction_longi[1][4].Q1in[W]</v>
      </c>
      <c r="CN9" s="15" t="s">
        <v>89</v>
      </c>
      <c r="CO9" s="15" t="s">
        <v>62</v>
      </c>
      <c r="CP9" s="29">
        <f>CP17</f>
        <v>39872.056457431405</v>
      </c>
      <c r="CQ9" s="17"/>
      <c r="DN9" s="30" t="str">
        <f>DN8</f>
        <v>Conduction_longi[1][5]</v>
      </c>
      <c r="DO9" s="31" t="str">
        <f>DN9&amp;"."&amp;DQ9</f>
        <v>Conduction_longi[1][5].Q1in[W]</v>
      </c>
      <c r="DP9" s="15" t="s">
        <v>89</v>
      </c>
      <c r="DQ9" s="15" t="s">
        <v>62</v>
      </c>
      <c r="DR9" s="29">
        <f>DR17</f>
        <v>36709.915371742565</v>
      </c>
      <c r="DS9" s="17"/>
    </row>
    <row r="10" spans="6:123" x14ac:dyDescent="0.35">
      <c r="F10" s="30" t="str">
        <f t="shared" ref="F10:F22" si="0">F9</f>
        <v>Conduction_longi[1][1]</v>
      </c>
      <c r="G10" s="31" t="str">
        <f>F10&amp;"."&amp;I10</f>
        <v>Conduction_longi[1][1].T1[K]</v>
      </c>
      <c r="H10" s="15" t="s">
        <v>87</v>
      </c>
      <c r="I10" s="15" t="s">
        <v>58</v>
      </c>
      <c r="J10" s="28">
        <f>J4</f>
        <v>1800</v>
      </c>
      <c r="K10" s="17"/>
      <c r="AH10" s="30" t="str">
        <f t="shared" ref="AH10:AH22" si="1">AH9</f>
        <v>Conduction_longi[1][2]</v>
      </c>
      <c r="AI10" s="31" t="str">
        <f>AH10&amp;"."&amp;AK10</f>
        <v>Conduction_longi[1][2].T1[K]</v>
      </c>
      <c r="AJ10" s="15" t="s">
        <v>87</v>
      </c>
      <c r="AK10" s="15" t="s">
        <v>58</v>
      </c>
      <c r="AL10" s="28">
        <f>AL4</f>
        <v>1700</v>
      </c>
      <c r="AM10" s="17"/>
      <c r="BJ10" s="30" t="str">
        <f t="shared" ref="BJ10:BJ22" si="2">BJ9</f>
        <v>Conduction_longi[1][3]</v>
      </c>
      <c r="BK10" s="31" t="str">
        <f>BJ10&amp;"."&amp;BM10</f>
        <v>Conduction_longi[1][3].T1[K]</v>
      </c>
      <c r="BL10" s="15" t="s">
        <v>87</v>
      </c>
      <c r="BM10" s="15" t="s">
        <v>58</v>
      </c>
      <c r="BN10" s="28">
        <f>BN4</f>
        <v>1600</v>
      </c>
      <c r="BO10" s="17"/>
      <c r="CL10" s="30" t="str">
        <f t="shared" ref="CL10:CL22" si="3">CL9</f>
        <v>Conduction_longi[1][4]</v>
      </c>
      <c r="CM10" s="31" t="str">
        <f>CL10&amp;"."&amp;CO10</f>
        <v>Conduction_longi[1][4].T1[K]</v>
      </c>
      <c r="CN10" s="15" t="s">
        <v>87</v>
      </c>
      <c r="CO10" s="15" t="s">
        <v>58</v>
      </c>
      <c r="CP10" s="28">
        <f>CP4</f>
        <v>1500</v>
      </c>
      <c r="CQ10" s="17"/>
      <c r="DN10" s="30" t="str">
        <f t="shared" ref="DN10:DN22" si="4">DN9</f>
        <v>Conduction_longi[1][5]</v>
      </c>
      <c r="DO10" s="31" t="str">
        <f>DN10&amp;"."&amp;DQ10</f>
        <v>Conduction_longi[1][5].T1[K]</v>
      </c>
      <c r="DP10" s="15" t="s">
        <v>87</v>
      </c>
      <c r="DQ10" s="15" t="s">
        <v>58</v>
      </c>
      <c r="DR10" s="28">
        <f>DR4</f>
        <v>1400</v>
      </c>
      <c r="DS10" s="17"/>
    </row>
    <row r="11" spans="6:123" x14ac:dyDescent="0.35">
      <c r="F11" s="30" t="str">
        <f t="shared" si="0"/>
        <v>Conduction_longi[1][1]</v>
      </c>
      <c r="G11" s="31"/>
      <c r="H11" s="16"/>
      <c r="I11" s="16"/>
      <c r="J11" s="16"/>
      <c r="K11" s="17"/>
      <c r="AH11" s="30" t="str">
        <f t="shared" si="1"/>
        <v>Conduction_longi[1][2]</v>
      </c>
      <c r="AI11" s="31"/>
      <c r="AJ11" s="16"/>
      <c r="AK11" s="16"/>
      <c r="AL11" s="16"/>
      <c r="AM11" s="17"/>
      <c r="BJ11" s="30" t="str">
        <f t="shared" si="2"/>
        <v>Conduction_longi[1][3]</v>
      </c>
      <c r="BK11" s="31"/>
      <c r="BL11" s="16"/>
      <c r="BM11" s="16"/>
      <c r="BN11" s="16"/>
      <c r="BO11" s="17"/>
      <c r="CL11" s="30" t="str">
        <f t="shared" si="3"/>
        <v>Conduction_longi[1][4]</v>
      </c>
      <c r="CM11" s="31"/>
      <c r="CN11" s="16"/>
      <c r="CO11" s="16"/>
      <c r="CP11" s="16"/>
      <c r="CQ11" s="17"/>
      <c r="DN11" s="30" t="str">
        <f t="shared" si="4"/>
        <v>Conduction_longi[1][5]</v>
      </c>
      <c r="DO11" s="31"/>
      <c r="DP11" s="16"/>
      <c r="DQ11" s="16"/>
      <c r="DR11" s="16"/>
      <c r="DS11" s="17"/>
    </row>
    <row r="12" spans="6:123" x14ac:dyDescent="0.35">
      <c r="F12" s="30" t="str">
        <f t="shared" si="0"/>
        <v>Conduction_longi[1][1]</v>
      </c>
      <c r="G12" s="31"/>
      <c r="H12" s="19"/>
      <c r="I12" s="20"/>
      <c r="J12" s="21"/>
      <c r="K12" s="17"/>
      <c r="AH12" s="30" t="str">
        <f t="shared" si="1"/>
        <v>Conduction_longi[1][2]</v>
      </c>
      <c r="AI12" s="31"/>
      <c r="AJ12" s="19"/>
      <c r="AK12" s="20"/>
      <c r="AL12" s="21"/>
      <c r="AM12" s="17"/>
      <c r="BJ12" s="30" t="str">
        <f t="shared" si="2"/>
        <v>Conduction_longi[1][3]</v>
      </c>
      <c r="BK12" s="31"/>
      <c r="BL12" s="19"/>
      <c r="BM12" s="20"/>
      <c r="BN12" s="21"/>
      <c r="BO12" s="17"/>
      <c r="CL12" s="30" t="str">
        <f t="shared" si="3"/>
        <v>Conduction_longi[1][4]</v>
      </c>
      <c r="CM12" s="31"/>
      <c r="CN12" s="19"/>
      <c r="CO12" s="20"/>
      <c r="CP12" s="21"/>
      <c r="CQ12" s="17"/>
      <c r="DN12" s="30" t="str">
        <f t="shared" si="4"/>
        <v>Conduction_longi[1][5]</v>
      </c>
      <c r="DO12" s="31"/>
      <c r="DP12" s="19"/>
      <c r="DQ12" s="20"/>
      <c r="DR12" s="21"/>
      <c r="DS12" s="17"/>
    </row>
    <row r="13" spans="6:123" x14ac:dyDescent="0.35">
      <c r="F13" s="30" t="str">
        <f t="shared" si="0"/>
        <v>Conduction_longi[1][1]</v>
      </c>
      <c r="G13" s="31" t="str">
        <f>F13&amp;"."&amp;I13</f>
        <v>Conduction_longi[1][1].A[m2]</v>
      </c>
      <c r="H13" s="22" t="s">
        <v>87</v>
      </c>
      <c r="I13" s="15" t="s">
        <v>51</v>
      </c>
      <c r="J13" s="41">
        <v>0.1</v>
      </c>
      <c r="K13" s="17"/>
      <c r="AH13" s="30" t="str">
        <f t="shared" si="1"/>
        <v>Conduction_longi[1][2]</v>
      </c>
      <c r="AI13" s="31" t="str">
        <f>AH13&amp;"."&amp;AK13</f>
        <v>Conduction_longi[1][2].A[m2]</v>
      </c>
      <c r="AJ13" s="22" t="s">
        <v>87</v>
      </c>
      <c r="AK13" s="15" t="s">
        <v>51</v>
      </c>
      <c r="AL13" s="41">
        <v>0.1</v>
      </c>
      <c r="AM13" s="17"/>
      <c r="BJ13" s="30" t="str">
        <f t="shared" si="2"/>
        <v>Conduction_longi[1][3]</v>
      </c>
      <c r="BK13" s="31" t="str">
        <f>BJ13&amp;"."&amp;BM13</f>
        <v>Conduction_longi[1][3].A[m2]</v>
      </c>
      <c r="BL13" s="22" t="s">
        <v>87</v>
      </c>
      <c r="BM13" s="15" t="s">
        <v>51</v>
      </c>
      <c r="BN13" s="41">
        <v>0.1</v>
      </c>
      <c r="BO13" s="17"/>
      <c r="CL13" s="30" t="str">
        <f t="shared" si="3"/>
        <v>Conduction_longi[1][4]</v>
      </c>
      <c r="CM13" s="31" t="str">
        <f>CL13&amp;"."&amp;CO13</f>
        <v>Conduction_longi[1][4].A[m2]</v>
      </c>
      <c r="CN13" s="22" t="s">
        <v>87</v>
      </c>
      <c r="CO13" s="15" t="s">
        <v>51</v>
      </c>
      <c r="CP13" s="41">
        <v>0.1</v>
      </c>
      <c r="CQ13" s="17"/>
      <c r="DN13" s="30" t="str">
        <f t="shared" si="4"/>
        <v>Conduction_longi[1][5]</v>
      </c>
      <c r="DO13" s="31" t="str">
        <f>DN13&amp;"."&amp;DQ13</f>
        <v>Conduction_longi[1][5].A[m2]</v>
      </c>
      <c r="DP13" s="22" t="s">
        <v>87</v>
      </c>
      <c r="DQ13" s="15" t="s">
        <v>51</v>
      </c>
      <c r="DR13" s="41">
        <v>0.1</v>
      </c>
      <c r="DS13" s="17"/>
    </row>
    <row r="14" spans="6:123" x14ac:dyDescent="0.35">
      <c r="F14" s="30" t="str">
        <f t="shared" si="0"/>
        <v>Conduction_longi[1][1]</v>
      </c>
      <c r="G14" s="31" t="str">
        <f>F14&amp;"."&amp;I14</f>
        <v>Conduction_longi[1][1].th[m]</v>
      </c>
      <c r="H14" s="22" t="s">
        <v>87</v>
      </c>
      <c r="I14" s="15" t="s">
        <v>53</v>
      </c>
      <c r="J14" s="41">
        <v>0.01</v>
      </c>
      <c r="K14" s="17"/>
      <c r="AH14" s="30" t="str">
        <f t="shared" si="1"/>
        <v>Conduction_longi[1][2]</v>
      </c>
      <c r="AI14" s="31" t="str">
        <f>AH14&amp;"."&amp;AK14</f>
        <v>Conduction_longi[1][2].th[m]</v>
      </c>
      <c r="AJ14" s="22" t="s">
        <v>87</v>
      </c>
      <c r="AK14" s="15" t="s">
        <v>53</v>
      </c>
      <c r="AL14" s="41">
        <v>0.01</v>
      </c>
      <c r="AM14" s="17"/>
      <c r="BJ14" s="30" t="str">
        <f t="shared" si="2"/>
        <v>Conduction_longi[1][3]</v>
      </c>
      <c r="BK14" s="31" t="str">
        <f>BJ14&amp;"."&amp;BM14</f>
        <v>Conduction_longi[1][3].th[m]</v>
      </c>
      <c r="BL14" s="22" t="s">
        <v>87</v>
      </c>
      <c r="BM14" s="15" t="s">
        <v>53</v>
      </c>
      <c r="BN14" s="41">
        <v>0.01</v>
      </c>
      <c r="BO14" s="17"/>
      <c r="CL14" s="30" t="str">
        <f t="shared" si="3"/>
        <v>Conduction_longi[1][4]</v>
      </c>
      <c r="CM14" s="31" t="str">
        <f>CL14&amp;"."&amp;CO14</f>
        <v>Conduction_longi[1][4].th[m]</v>
      </c>
      <c r="CN14" s="22" t="s">
        <v>87</v>
      </c>
      <c r="CO14" s="15" t="s">
        <v>53</v>
      </c>
      <c r="CP14" s="41">
        <v>0.01</v>
      </c>
      <c r="CQ14" s="17"/>
      <c r="DN14" s="30" t="str">
        <f t="shared" si="4"/>
        <v>Conduction_longi[1][5]</v>
      </c>
      <c r="DO14" s="31" t="str">
        <f>DN14&amp;"."&amp;DQ14</f>
        <v>Conduction_longi[1][5].th[m]</v>
      </c>
      <c r="DP14" s="22" t="s">
        <v>87</v>
      </c>
      <c r="DQ14" s="15" t="s">
        <v>53</v>
      </c>
      <c r="DR14" s="41">
        <v>0.01</v>
      </c>
      <c r="DS14" s="17"/>
    </row>
    <row r="15" spans="6:123" x14ac:dyDescent="0.35">
      <c r="F15" s="30" t="str">
        <f t="shared" si="0"/>
        <v>Conduction_longi[1][1]</v>
      </c>
      <c r="G15" s="31" t="str">
        <f>F15&amp;"."&amp;I15</f>
        <v>Conduction_longi[1][1].rambda[W/(m*K)]</v>
      </c>
      <c r="H15" s="22" t="s">
        <v>87</v>
      </c>
      <c r="I15" s="15" t="s">
        <v>55</v>
      </c>
      <c r="J15" s="41">
        <v>10</v>
      </c>
      <c r="K15" s="17"/>
      <c r="AH15" s="30" t="str">
        <f t="shared" si="1"/>
        <v>Conduction_longi[1][2]</v>
      </c>
      <c r="AI15" s="31" t="str">
        <f>AH15&amp;"."&amp;AK15</f>
        <v>Conduction_longi[1][2].rambda[W/(m*K)]</v>
      </c>
      <c r="AJ15" s="22" t="s">
        <v>87</v>
      </c>
      <c r="AK15" s="15" t="s">
        <v>55</v>
      </c>
      <c r="AL15" s="41">
        <v>10</v>
      </c>
      <c r="AM15" s="17"/>
      <c r="BJ15" s="30" t="str">
        <f t="shared" si="2"/>
        <v>Conduction_longi[1][3]</v>
      </c>
      <c r="BK15" s="31" t="str">
        <f>BJ15&amp;"."&amp;BM15</f>
        <v>Conduction_longi[1][3].rambda[W/(m*K)]</v>
      </c>
      <c r="BL15" s="22" t="s">
        <v>87</v>
      </c>
      <c r="BM15" s="15" t="s">
        <v>55</v>
      </c>
      <c r="BN15" s="41">
        <v>10</v>
      </c>
      <c r="BO15" s="17"/>
      <c r="CL15" s="30" t="str">
        <f t="shared" si="3"/>
        <v>Conduction_longi[1][4]</v>
      </c>
      <c r="CM15" s="31" t="str">
        <f>CL15&amp;"."&amp;CO15</f>
        <v>Conduction_longi[1][4].rambda[W/(m*K)]</v>
      </c>
      <c r="CN15" s="22" t="s">
        <v>87</v>
      </c>
      <c r="CO15" s="15" t="s">
        <v>55</v>
      </c>
      <c r="CP15" s="41">
        <v>10</v>
      </c>
      <c r="CQ15" s="17"/>
      <c r="DN15" s="30" t="str">
        <f t="shared" si="4"/>
        <v>Conduction_longi[1][5]</v>
      </c>
      <c r="DO15" s="31" t="str">
        <f>DN15&amp;"."&amp;DQ15</f>
        <v>Conduction_longi[1][5].rambda[W/(m*K)]</v>
      </c>
      <c r="DP15" s="22" t="s">
        <v>87</v>
      </c>
      <c r="DQ15" s="15" t="s">
        <v>55</v>
      </c>
      <c r="DR15" s="41">
        <v>10</v>
      </c>
      <c r="DS15" s="17"/>
    </row>
    <row r="16" spans="6:123" x14ac:dyDescent="0.35">
      <c r="F16" s="30" t="str">
        <f t="shared" si="0"/>
        <v>Conduction_longi[1][1]</v>
      </c>
      <c r="G16" s="31"/>
      <c r="H16" s="24"/>
      <c r="I16" s="16"/>
      <c r="J16" s="23"/>
      <c r="K16" s="17"/>
      <c r="AH16" s="30" t="str">
        <f t="shared" si="1"/>
        <v>Conduction_longi[1][2]</v>
      </c>
      <c r="AI16" s="31"/>
      <c r="AJ16" s="24"/>
      <c r="AK16" s="16"/>
      <c r="AL16" s="23"/>
      <c r="AM16" s="17"/>
      <c r="BJ16" s="30" t="str">
        <f t="shared" si="2"/>
        <v>Conduction_longi[1][3]</v>
      </c>
      <c r="BK16" s="31"/>
      <c r="BL16" s="24"/>
      <c r="BM16" s="16"/>
      <c r="BN16" s="23"/>
      <c r="BO16" s="17"/>
      <c r="CL16" s="30" t="str">
        <f t="shared" si="3"/>
        <v>Conduction_longi[1][4]</v>
      </c>
      <c r="CM16" s="31"/>
      <c r="CN16" s="24"/>
      <c r="CO16" s="16"/>
      <c r="CP16" s="23"/>
      <c r="CQ16" s="17"/>
      <c r="DN16" s="30" t="str">
        <f t="shared" si="4"/>
        <v>Conduction_longi[1][5]</v>
      </c>
      <c r="DO16" s="31"/>
      <c r="DP16" s="24"/>
      <c r="DQ16" s="16"/>
      <c r="DR16" s="23"/>
      <c r="DS16" s="17"/>
    </row>
    <row r="17" spans="6:159" x14ac:dyDescent="0.35">
      <c r="F17" s="30" t="str">
        <f t="shared" si="0"/>
        <v>Conduction_longi[1][1]</v>
      </c>
      <c r="G17" s="31"/>
      <c r="H17" s="22" t="s">
        <v>89</v>
      </c>
      <c r="I17" s="15" t="s">
        <v>57</v>
      </c>
      <c r="J17" s="23">
        <f>J15*J13/J14*(J10-J21)</f>
        <v>50053.673666162831</v>
      </c>
      <c r="K17" s="17"/>
      <c r="AH17" s="30" t="str">
        <f t="shared" si="1"/>
        <v>Conduction_longi[1][2]</v>
      </c>
      <c r="AI17" s="31"/>
      <c r="AJ17" s="22" t="s">
        <v>89</v>
      </c>
      <c r="AK17" s="15" t="s">
        <v>57</v>
      </c>
      <c r="AL17" s="23">
        <f>AL15*AL13/AL14*(AL10-AL21)</f>
        <v>46539.400544191725</v>
      </c>
      <c r="AM17" s="17"/>
      <c r="BJ17" s="30" t="str">
        <f t="shared" si="2"/>
        <v>Conduction_longi[1][3]</v>
      </c>
      <c r="BK17" s="31"/>
      <c r="BL17" s="22" t="s">
        <v>89</v>
      </c>
      <c r="BM17" s="15" t="s">
        <v>57</v>
      </c>
      <c r="BN17" s="23">
        <f>BN15*BN13/BN14*(BN10-BN21)</f>
        <v>33591.620627138152</v>
      </c>
      <c r="BO17" s="17"/>
      <c r="CL17" s="30" t="str">
        <f t="shared" si="3"/>
        <v>Conduction_longi[1][4]</v>
      </c>
      <c r="CM17" s="31"/>
      <c r="CN17" s="22" t="s">
        <v>89</v>
      </c>
      <c r="CO17" s="15" t="s">
        <v>57</v>
      </c>
      <c r="CP17" s="23">
        <f>CP15*CP13/CP14*(CP10-CP21)</f>
        <v>39872.056457431405</v>
      </c>
      <c r="CQ17" s="17"/>
      <c r="DN17" s="30" t="str">
        <f t="shared" si="4"/>
        <v>Conduction_longi[1][5]</v>
      </c>
      <c r="DO17" s="31"/>
      <c r="DP17" s="22" t="s">
        <v>89</v>
      </c>
      <c r="DQ17" s="15" t="s">
        <v>57</v>
      </c>
      <c r="DR17" s="23">
        <f>DR15*DR13/DR14*(DR10-DR21)</f>
        <v>36709.915371742565</v>
      </c>
      <c r="DS17" s="17"/>
    </row>
    <row r="18" spans="6:159" x14ac:dyDescent="0.35">
      <c r="F18" s="30" t="str">
        <f t="shared" si="0"/>
        <v>Conduction_longi[1][1]</v>
      </c>
      <c r="G18" s="31"/>
      <c r="H18" s="22" t="s">
        <v>89</v>
      </c>
      <c r="I18" s="15" t="s">
        <v>60</v>
      </c>
      <c r="J18" s="23">
        <f>-1*J17</f>
        <v>-50053.673666162831</v>
      </c>
      <c r="K18" s="17"/>
      <c r="AH18" s="30" t="str">
        <f t="shared" si="1"/>
        <v>Conduction_longi[1][2]</v>
      </c>
      <c r="AI18" s="31"/>
      <c r="AJ18" s="22" t="s">
        <v>89</v>
      </c>
      <c r="AK18" s="15" t="s">
        <v>60</v>
      </c>
      <c r="AL18" s="23">
        <f>-1*AL17</f>
        <v>-46539.400544191725</v>
      </c>
      <c r="AM18" s="17"/>
      <c r="BJ18" s="30" t="str">
        <f t="shared" si="2"/>
        <v>Conduction_longi[1][3]</v>
      </c>
      <c r="BK18" s="31"/>
      <c r="BL18" s="22" t="s">
        <v>89</v>
      </c>
      <c r="BM18" s="15" t="s">
        <v>60</v>
      </c>
      <c r="BN18" s="23">
        <f>-1*BN17</f>
        <v>-33591.620627138152</v>
      </c>
      <c r="BO18" s="17"/>
      <c r="CL18" s="30" t="str">
        <f t="shared" si="3"/>
        <v>Conduction_longi[1][4]</v>
      </c>
      <c r="CM18" s="31"/>
      <c r="CN18" s="22" t="s">
        <v>89</v>
      </c>
      <c r="CO18" s="15" t="s">
        <v>60</v>
      </c>
      <c r="CP18" s="23">
        <f>-1*CP17</f>
        <v>-39872.056457431405</v>
      </c>
      <c r="CQ18" s="17"/>
      <c r="DN18" s="30" t="str">
        <f t="shared" si="4"/>
        <v>Conduction_longi[1][5]</v>
      </c>
      <c r="DO18" s="31"/>
      <c r="DP18" s="22" t="s">
        <v>89</v>
      </c>
      <c r="DQ18" s="15" t="s">
        <v>60</v>
      </c>
      <c r="DR18" s="23">
        <f>-1*DR17</f>
        <v>-36709.915371742565</v>
      </c>
      <c r="DS18" s="17"/>
    </row>
    <row r="19" spans="6:159" x14ac:dyDescent="0.35">
      <c r="F19" s="30" t="str">
        <f t="shared" si="0"/>
        <v>Conduction_longi[1][1]</v>
      </c>
      <c r="G19" s="31"/>
      <c r="H19" s="25"/>
      <c r="I19" s="26"/>
      <c r="J19" s="27"/>
      <c r="K19" s="17"/>
      <c r="AH19" s="30" t="str">
        <f t="shared" si="1"/>
        <v>Conduction_longi[1][2]</v>
      </c>
      <c r="AI19" s="31"/>
      <c r="AJ19" s="25"/>
      <c r="AK19" s="26"/>
      <c r="AL19" s="27"/>
      <c r="AM19" s="17"/>
      <c r="BJ19" s="30" t="str">
        <f t="shared" si="2"/>
        <v>Conduction_longi[1][3]</v>
      </c>
      <c r="BK19" s="31"/>
      <c r="BL19" s="25"/>
      <c r="BM19" s="26"/>
      <c r="BN19" s="27"/>
      <c r="BO19" s="17"/>
      <c r="CL19" s="30" t="str">
        <f t="shared" si="3"/>
        <v>Conduction_longi[1][4]</v>
      </c>
      <c r="CM19" s="31"/>
      <c r="CN19" s="25"/>
      <c r="CO19" s="26"/>
      <c r="CP19" s="27"/>
      <c r="CQ19" s="17"/>
      <c r="DN19" s="30" t="str">
        <f t="shared" si="4"/>
        <v>Conduction_longi[1][5]</v>
      </c>
      <c r="DO19" s="31"/>
      <c r="DP19" s="25"/>
      <c r="DQ19" s="26"/>
      <c r="DR19" s="27"/>
      <c r="DS19" s="17"/>
    </row>
    <row r="20" spans="6:159" x14ac:dyDescent="0.35">
      <c r="F20" s="30" t="str">
        <f t="shared" si="0"/>
        <v>Conduction_longi[1][1]</v>
      </c>
      <c r="G20" s="31"/>
      <c r="H20" s="16"/>
      <c r="I20" s="16"/>
      <c r="J20" s="16"/>
      <c r="K20" s="17"/>
      <c r="AH20" s="30" t="str">
        <f t="shared" si="1"/>
        <v>Conduction_longi[1][2]</v>
      </c>
      <c r="AI20" s="31"/>
      <c r="AJ20" s="16"/>
      <c r="AK20" s="16"/>
      <c r="AL20" s="16"/>
      <c r="AM20" s="17"/>
      <c r="BJ20" s="30" t="str">
        <f t="shared" si="2"/>
        <v>Conduction_longi[1][3]</v>
      </c>
      <c r="BK20" s="31"/>
      <c r="BL20" s="16"/>
      <c r="BM20" s="16"/>
      <c r="BN20" s="16"/>
      <c r="BO20" s="17"/>
      <c r="CL20" s="30" t="str">
        <f t="shared" si="3"/>
        <v>Conduction_longi[1][4]</v>
      </c>
      <c r="CM20" s="31"/>
      <c r="CN20" s="16"/>
      <c r="CO20" s="16"/>
      <c r="CP20" s="16"/>
      <c r="CQ20" s="17"/>
      <c r="DN20" s="30" t="str">
        <f t="shared" si="4"/>
        <v>Conduction_longi[1][5]</v>
      </c>
      <c r="DO20" s="31"/>
      <c r="DP20" s="16"/>
      <c r="DQ20" s="16"/>
      <c r="DR20" s="16"/>
      <c r="DS20" s="17"/>
    </row>
    <row r="21" spans="6:159" x14ac:dyDescent="0.35">
      <c r="F21" s="30" t="str">
        <f t="shared" si="0"/>
        <v>Conduction_longi[1][1]</v>
      </c>
      <c r="G21" s="31" t="str">
        <f>F21&amp;"."&amp;I21</f>
        <v>Conduction_longi[1][1].T2[K]</v>
      </c>
      <c r="H21" s="15" t="s">
        <v>87</v>
      </c>
      <c r="I21" s="15" t="s">
        <v>59</v>
      </c>
      <c r="J21" s="28">
        <f>J28</f>
        <v>1299.4632633383717</v>
      </c>
      <c r="K21" s="17"/>
      <c r="AH21" s="30" t="str">
        <f t="shared" si="1"/>
        <v>Conduction_longi[1][2]</v>
      </c>
      <c r="AI21" s="31" t="str">
        <f>AH21&amp;"."&amp;AK21</f>
        <v>Conduction_longi[1][2].T2[K]</v>
      </c>
      <c r="AJ21" s="15" t="s">
        <v>87</v>
      </c>
      <c r="AK21" s="15" t="s">
        <v>59</v>
      </c>
      <c r="AL21" s="28">
        <f>AL28</f>
        <v>1234.6059945580828</v>
      </c>
      <c r="AM21" s="17"/>
      <c r="BJ21" s="30" t="str">
        <f t="shared" si="2"/>
        <v>Conduction_longi[1][3]</v>
      </c>
      <c r="BK21" s="31" t="str">
        <f>BJ21&amp;"."&amp;BM21</f>
        <v>Conduction_longi[1][3].T2[K]</v>
      </c>
      <c r="BL21" s="15" t="s">
        <v>87</v>
      </c>
      <c r="BM21" s="15" t="s">
        <v>59</v>
      </c>
      <c r="BN21" s="28">
        <f>BN28</f>
        <v>1264.0837937286185</v>
      </c>
      <c r="BO21" s="17"/>
      <c r="CL21" s="30" t="str">
        <f t="shared" si="3"/>
        <v>Conduction_longi[1][4]</v>
      </c>
      <c r="CM21" s="31" t="str">
        <f>CL21&amp;"."&amp;CO21</f>
        <v>Conduction_longi[1][4].T2[K]</v>
      </c>
      <c r="CN21" s="15" t="s">
        <v>87</v>
      </c>
      <c r="CO21" s="15" t="s">
        <v>59</v>
      </c>
      <c r="CP21" s="28">
        <f>CP28</f>
        <v>1101.279435425686</v>
      </c>
      <c r="CQ21" s="17"/>
      <c r="DN21" s="30" t="str">
        <f t="shared" si="4"/>
        <v>Conduction_longi[1][5]</v>
      </c>
      <c r="DO21" s="31" t="str">
        <f>DN21&amp;"."&amp;DQ21</f>
        <v>Conduction_longi[1][5].T2[K]</v>
      </c>
      <c r="DP21" s="15" t="s">
        <v>87</v>
      </c>
      <c r="DQ21" s="15" t="s">
        <v>59</v>
      </c>
      <c r="DR21" s="28">
        <f>DR28</f>
        <v>1032.9008462825743</v>
      </c>
      <c r="DS21" s="17"/>
    </row>
    <row r="22" spans="6:159" x14ac:dyDescent="0.35">
      <c r="F22" s="30" t="str">
        <f t="shared" si="0"/>
        <v>Conduction_longi[1][1]</v>
      </c>
      <c r="G22" s="31" t="str">
        <f>F22&amp;"."&amp;I22</f>
        <v>Conduction_longi[1][1].Q2in[W]</v>
      </c>
      <c r="H22" s="15" t="s">
        <v>89</v>
      </c>
      <c r="I22" s="15" t="s">
        <v>61</v>
      </c>
      <c r="J22" s="16">
        <f>J18</f>
        <v>-50053.673666162831</v>
      </c>
      <c r="K22" s="17"/>
      <c r="AH22" s="30" t="str">
        <f t="shared" si="1"/>
        <v>Conduction_longi[1][2]</v>
      </c>
      <c r="AI22" s="31" t="str">
        <f>AH22&amp;"."&amp;AK22</f>
        <v>Conduction_longi[1][2].Q2in[W]</v>
      </c>
      <c r="AJ22" s="15" t="s">
        <v>89</v>
      </c>
      <c r="AK22" s="15" t="s">
        <v>61</v>
      </c>
      <c r="AL22" s="16">
        <f>AL18</f>
        <v>-46539.400544191725</v>
      </c>
      <c r="AM22" s="17"/>
      <c r="BJ22" s="30" t="str">
        <f t="shared" si="2"/>
        <v>Conduction_longi[1][3]</v>
      </c>
      <c r="BK22" s="31" t="str">
        <f>BJ22&amp;"."&amp;BM22</f>
        <v>Conduction_longi[1][3].Q2in[W]</v>
      </c>
      <c r="BL22" s="15" t="s">
        <v>89</v>
      </c>
      <c r="BM22" s="15" t="s">
        <v>61</v>
      </c>
      <c r="BN22" s="16">
        <f>BN18</f>
        <v>-33591.620627138152</v>
      </c>
      <c r="BO22" s="17"/>
      <c r="CL22" s="30" t="str">
        <f t="shared" si="3"/>
        <v>Conduction_longi[1][4]</v>
      </c>
      <c r="CM22" s="31" t="str">
        <f>CL22&amp;"."&amp;CO22</f>
        <v>Conduction_longi[1][4].Q2in[W]</v>
      </c>
      <c r="CN22" s="15" t="s">
        <v>89</v>
      </c>
      <c r="CO22" s="15" t="s">
        <v>61</v>
      </c>
      <c r="CP22" s="16">
        <f>CP18</f>
        <v>-39872.056457431405</v>
      </c>
      <c r="CQ22" s="17"/>
      <c r="DN22" s="30" t="str">
        <f t="shared" si="4"/>
        <v>Conduction_longi[1][5]</v>
      </c>
      <c r="DO22" s="31" t="str">
        <f>DN22&amp;"."&amp;DQ22</f>
        <v>Conduction_longi[1][5].Q2in[W]</v>
      </c>
      <c r="DP22" s="15" t="s">
        <v>89</v>
      </c>
      <c r="DQ22" s="15" t="s">
        <v>61</v>
      </c>
      <c r="DR22" s="16">
        <f>DR18</f>
        <v>-36709.915371742565</v>
      </c>
      <c r="DS22" s="17"/>
    </row>
    <row r="23" spans="6:159" ht="17.25" thickBot="1" x14ac:dyDescent="0.4">
      <c r="F23" s="37" t="s">
        <v>69</v>
      </c>
      <c r="G23" s="18"/>
      <c r="H23" s="18"/>
      <c r="I23" s="18"/>
      <c r="J23" s="18"/>
      <c r="K23" s="39" t="s">
        <v>69</v>
      </c>
      <c r="AH23" s="37" t="s">
        <v>69</v>
      </c>
      <c r="AI23" s="18"/>
      <c r="AJ23" s="18"/>
      <c r="AK23" s="18"/>
      <c r="AL23" s="18"/>
      <c r="AM23" s="39" t="s">
        <v>69</v>
      </c>
      <c r="BJ23" s="37" t="s">
        <v>69</v>
      </c>
      <c r="BK23" s="18"/>
      <c r="BL23" s="18"/>
      <c r="BM23" s="18"/>
      <c r="BN23" s="18"/>
      <c r="BO23" s="39" t="s">
        <v>69</v>
      </c>
      <c r="CL23" s="37" t="s">
        <v>69</v>
      </c>
      <c r="CM23" s="18"/>
      <c r="CN23" s="18"/>
      <c r="CO23" s="18"/>
      <c r="CP23" s="18"/>
      <c r="CQ23" s="39" t="s">
        <v>69</v>
      </c>
      <c r="DN23" s="37" t="s">
        <v>69</v>
      </c>
      <c r="DO23" s="18"/>
      <c r="DP23" s="18"/>
      <c r="DQ23" s="18"/>
      <c r="DR23" s="18"/>
      <c r="DS23" s="39" t="s">
        <v>69</v>
      </c>
    </row>
    <row r="25" spans="6:159" ht="17.25" thickBot="1" x14ac:dyDescent="0.4"/>
    <row r="26" spans="6:159" x14ac:dyDescent="0.35">
      <c r="F26" s="12" t="s">
        <v>78</v>
      </c>
      <c r="G26" s="13"/>
      <c r="H26" s="14"/>
      <c r="I26" s="14"/>
      <c r="J26" s="14"/>
      <c r="K26" s="38" t="s">
        <v>69</v>
      </c>
      <c r="N26" s="12" t="s">
        <v>83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38" t="s">
        <v>69</v>
      </c>
      <c r="AH26" s="12" t="s">
        <v>79</v>
      </c>
      <c r="AI26" s="13"/>
      <c r="AJ26" s="14"/>
      <c r="AK26" s="14"/>
      <c r="AL26" s="14"/>
      <c r="AM26" s="38" t="s">
        <v>69</v>
      </c>
      <c r="AP26" s="12" t="s">
        <v>105</v>
      </c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38" t="s">
        <v>69</v>
      </c>
      <c r="BJ26" s="12" t="s">
        <v>106</v>
      </c>
      <c r="BK26" s="13"/>
      <c r="BL26" s="14"/>
      <c r="BM26" s="14"/>
      <c r="BN26" s="14"/>
      <c r="BO26" s="38" t="s">
        <v>69</v>
      </c>
      <c r="BR26" s="12" t="s">
        <v>107</v>
      </c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38" t="s">
        <v>69</v>
      </c>
      <c r="CL26" s="12" t="s">
        <v>108</v>
      </c>
      <c r="CM26" s="13"/>
      <c r="CN26" s="14"/>
      <c r="CO26" s="14"/>
      <c r="CP26" s="14"/>
      <c r="CQ26" s="38" t="s">
        <v>69</v>
      </c>
      <c r="CT26" s="12" t="s">
        <v>109</v>
      </c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38" t="s">
        <v>69</v>
      </c>
      <c r="DN26" s="12" t="s">
        <v>110</v>
      </c>
      <c r="DO26" s="13"/>
      <c r="DP26" s="14"/>
      <c r="DQ26" s="14"/>
      <c r="DR26" s="14"/>
      <c r="DS26" s="38" t="s">
        <v>69</v>
      </c>
      <c r="DV26" s="12" t="s">
        <v>111</v>
      </c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38" t="s">
        <v>69</v>
      </c>
      <c r="EP26" s="12" t="s">
        <v>112</v>
      </c>
      <c r="EQ26" s="13"/>
      <c r="ER26" s="14"/>
      <c r="ES26" s="14"/>
      <c r="ET26" s="14"/>
      <c r="EU26" s="38" t="s">
        <v>69</v>
      </c>
      <c r="EX26" s="12" t="s">
        <v>122</v>
      </c>
      <c r="EY26" s="13"/>
      <c r="EZ26" s="14"/>
      <c r="FA26" s="14"/>
      <c r="FB26" s="14"/>
      <c r="FC26" s="38" t="s">
        <v>69</v>
      </c>
    </row>
    <row r="27" spans="6:159" x14ac:dyDescent="0.35">
      <c r="F27" s="30" t="str">
        <f>F26</f>
        <v>NodeSS[1][1]</v>
      </c>
      <c r="G27" s="31" t="str">
        <f>F27&amp;"."&amp;I27</f>
        <v>NodeSS[1][1].sumQ[W]</v>
      </c>
      <c r="H27" s="15" t="s">
        <v>87</v>
      </c>
      <c r="I27" s="15" t="s">
        <v>65</v>
      </c>
      <c r="J27" s="28">
        <f>SUM(J22,R30,J40)</f>
        <v>0</v>
      </c>
      <c r="K27" s="17"/>
      <c r="N27" s="30" t="str">
        <f>N26</f>
        <v>Conduction_lat[1][1]</v>
      </c>
      <c r="O27" s="31" t="str">
        <f>N27</f>
        <v>Conduction_lat[1][1]</v>
      </c>
      <c r="P27" s="31" t="str">
        <f t="shared" ref="P27:AD27" si="5">O27</f>
        <v>Conduction_lat[1][1]</v>
      </c>
      <c r="Q27" s="31" t="str">
        <f t="shared" si="5"/>
        <v>Conduction_lat[1][1]</v>
      </c>
      <c r="R27" s="31" t="str">
        <f t="shared" si="5"/>
        <v>Conduction_lat[1][1]</v>
      </c>
      <c r="S27" s="31" t="str">
        <f t="shared" si="5"/>
        <v>Conduction_lat[1][1]</v>
      </c>
      <c r="T27" s="31" t="str">
        <f t="shared" si="5"/>
        <v>Conduction_lat[1][1]</v>
      </c>
      <c r="U27" s="31" t="str">
        <f t="shared" si="5"/>
        <v>Conduction_lat[1][1]</v>
      </c>
      <c r="V27" s="31" t="str">
        <f t="shared" si="5"/>
        <v>Conduction_lat[1][1]</v>
      </c>
      <c r="W27" s="31" t="str">
        <f t="shared" si="5"/>
        <v>Conduction_lat[1][1]</v>
      </c>
      <c r="X27" s="31" t="str">
        <f t="shared" si="5"/>
        <v>Conduction_lat[1][1]</v>
      </c>
      <c r="Y27" s="31" t="str">
        <f t="shared" si="5"/>
        <v>Conduction_lat[1][1]</v>
      </c>
      <c r="Z27" s="31" t="str">
        <f t="shared" si="5"/>
        <v>Conduction_lat[1][1]</v>
      </c>
      <c r="AA27" s="31" t="str">
        <f t="shared" si="5"/>
        <v>Conduction_lat[1][1]</v>
      </c>
      <c r="AB27" s="31" t="str">
        <f t="shared" si="5"/>
        <v>Conduction_lat[1][1]</v>
      </c>
      <c r="AC27" s="31" t="str">
        <f t="shared" si="5"/>
        <v>Conduction_lat[1][1]</v>
      </c>
      <c r="AD27" s="31" t="str">
        <f t="shared" si="5"/>
        <v>Conduction_lat[1][1]</v>
      </c>
      <c r="AE27" s="17"/>
      <c r="AH27" s="30" t="str">
        <f>AH26</f>
        <v>NodeSS[1][2]</v>
      </c>
      <c r="AI27" s="31" t="str">
        <f>AH27&amp;"."&amp;AK27</f>
        <v>NodeSS[1][2].sumQ[W]</v>
      </c>
      <c r="AJ27" s="15" t="s">
        <v>87</v>
      </c>
      <c r="AK27" s="15" t="s">
        <v>65</v>
      </c>
      <c r="AL27" s="28">
        <f>SUM(AL22,AT30,AL40,AD30)</f>
        <v>-2.2737367544323206E-11</v>
      </c>
      <c r="AM27" s="17"/>
      <c r="AP27" s="30" t="str">
        <f>AP26</f>
        <v>Conduction_lat[1][2]</v>
      </c>
      <c r="AQ27" s="31" t="str">
        <f>AP27</f>
        <v>Conduction_lat[1][2]</v>
      </c>
      <c r="AR27" s="31" t="str">
        <f t="shared" ref="AR27" si="6">AQ27</f>
        <v>Conduction_lat[1][2]</v>
      </c>
      <c r="AS27" s="31" t="str">
        <f t="shared" ref="AS27" si="7">AR27</f>
        <v>Conduction_lat[1][2]</v>
      </c>
      <c r="AT27" s="31" t="str">
        <f t="shared" ref="AT27" si="8">AS27</f>
        <v>Conduction_lat[1][2]</v>
      </c>
      <c r="AU27" s="31" t="str">
        <f t="shared" ref="AU27" si="9">AT27</f>
        <v>Conduction_lat[1][2]</v>
      </c>
      <c r="AV27" s="31" t="str">
        <f t="shared" ref="AV27" si="10">AU27</f>
        <v>Conduction_lat[1][2]</v>
      </c>
      <c r="AW27" s="31" t="str">
        <f t="shared" ref="AW27" si="11">AV27</f>
        <v>Conduction_lat[1][2]</v>
      </c>
      <c r="AX27" s="31" t="str">
        <f t="shared" ref="AX27" si="12">AW27</f>
        <v>Conduction_lat[1][2]</v>
      </c>
      <c r="AY27" s="31" t="str">
        <f t="shared" ref="AY27" si="13">AX27</f>
        <v>Conduction_lat[1][2]</v>
      </c>
      <c r="AZ27" s="31" t="str">
        <f t="shared" ref="AZ27" si="14">AY27</f>
        <v>Conduction_lat[1][2]</v>
      </c>
      <c r="BA27" s="31" t="str">
        <f t="shared" ref="BA27" si="15">AZ27</f>
        <v>Conduction_lat[1][2]</v>
      </c>
      <c r="BB27" s="31" t="str">
        <f t="shared" ref="BB27" si="16">BA27</f>
        <v>Conduction_lat[1][2]</v>
      </c>
      <c r="BC27" s="31" t="str">
        <f t="shared" ref="BC27" si="17">BB27</f>
        <v>Conduction_lat[1][2]</v>
      </c>
      <c r="BD27" s="31" t="str">
        <f t="shared" ref="BD27" si="18">BC27</f>
        <v>Conduction_lat[1][2]</v>
      </c>
      <c r="BE27" s="31" t="str">
        <f t="shared" ref="BE27" si="19">BD27</f>
        <v>Conduction_lat[1][2]</v>
      </c>
      <c r="BF27" s="31" t="str">
        <f t="shared" ref="BF27" si="20">BE27</f>
        <v>Conduction_lat[1][2]</v>
      </c>
      <c r="BG27" s="17"/>
      <c r="BJ27" s="30" t="str">
        <f>BJ26</f>
        <v>NodeSS[1][3]</v>
      </c>
      <c r="BK27" s="31" t="str">
        <f>BJ27&amp;"."&amp;BM27</f>
        <v>NodeSS[1][3].sumQ[W]</v>
      </c>
      <c r="BL27" s="15" t="s">
        <v>87</v>
      </c>
      <c r="BM27" s="15" t="s">
        <v>65</v>
      </c>
      <c r="BN27" s="28">
        <f>SUM(BN22,BV30,BN40,BF30)</f>
        <v>-5.6843418860808015E-12</v>
      </c>
      <c r="BO27" s="17"/>
      <c r="BR27" s="30" t="str">
        <f>BR26</f>
        <v>Conduction_lat[1][3]</v>
      </c>
      <c r="BS27" s="31" t="str">
        <f>BR27</f>
        <v>Conduction_lat[1][3]</v>
      </c>
      <c r="BT27" s="31" t="str">
        <f t="shared" ref="BT27" si="21">BS27</f>
        <v>Conduction_lat[1][3]</v>
      </c>
      <c r="BU27" s="31" t="str">
        <f t="shared" ref="BU27" si="22">BT27</f>
        <v>Conduction_lat[1][3]</v>
      </c>
      <c r="BV27" s="31" t="str">
        <f t="shared" ref="BV27" si="23">BU27</f>
        <v>Conduction_lat[1][3]</v>
      </c>
      <c r="BW27" s="31" t="str">
        <f t="shared" ref="BW27" si="24">BV27</f>
        <v>Conduction_lat[1][3]</v>
      </c>
      <c r="BX27" s="31" t="str">
        <f t="shared" ref="BX27" si="25">BW27</f>
        <v>Conduction_lat[1][3]</v>
      </c>
      <c r="BY27" s="31" t="str">
        <f t="shared" ref="BY27" si="26">BX27</f>
        <v>Conduction_lat[1][3]</v>
      </c>
      <c r="BZ27" s="31" t="str">
        <f t="shared" ref="BZ27" si="27">BY27</f>
        <v>Conduction_lat[1][3]</v>
      </c>
      <c r="CA27" s="31" t="str">
        <f t="shared" ref="CA27" si="28">BZ27</f>
        <v>Conduction_lat[1][3]</v>
      </c>
      <c r="CB27" s="31" t="str">
        <f t="shared" ref="CB27" si="29">CA27</f>
        <v>Conduction_lat[1][3]</v>
      </c>
      <c r="CC27" s="31" t="str">
        <f t="shared" ref="CC27" si="30">CB27</f>
        <v>Conduction_lat[1][3]</v>
      </c>
      <c r="CD27" s="31" t="str">
        <f t="shared" ref="CD27" si="31">CC27</f>
        <v>Conduction_lat[1][3]</v>
      </c>
      <c r="CE27" s="31" t="str">
        <f t="shared" ref="CE27" si="32">CD27</f>
        <v>Conduction_lat[1][3]</v>
      </c>
      <c r="CF27" s="31" t="str">
        <f t="shared" ref="CF27" si="33">CE27</f>
        <v>Conduction_lat[1][3]</v>
      </c>
      <c r="CG27" s="31" t="str">
        <f t="shared" ref="CG27" si="34">CF27</f>
        <v>Conduction_lat[1][3]</v>
      </c>
      <c r="CH27" s="31" t="str">
        <f t="shared" ref="CH27" si="35">CG27</f>
        <v>Conduction_lat[1][3]</v>
      </c>
      <c r="CI27" s="17"/>
      <c r="CL27" s="30" t="str">
        <f>CL26</f>
        <v>NodeSS[1][4]</v>
      </c>
      <c r="CM27" s="31" t="str">
        <f>CL27&amp;"."&amp;CO27</f>
        <v>NodeSS[1][4].sumQ[W]</v>
      </c>
      <c r="CN27" s="15" t="s">
        <v>87</v>
      </c>
      <c r="CO27" s="15" t="s">
        <v>65</v>
      </c>
      <c r="CP27" s="28">
        <f>SUM(CP22,CX30,CP40,CH30)</f>
        <v>-4.0927261579781771E-12</v>
      </c>
      <c r="CQ27" s="17"/>
      <c r="CT27" s="30" t="str">
        <f>CT26</f>
        <v>Conduction_lat[1][4]</v>
      </c>
      <c r="CU27" s="31" t="str">
        <f>CT27</f>
        <v>Conduction_lat[1][4]</v>
      </c>
      <c r="CV27" s="31" t="str">
        <f t="shared" ref="CV27" si="36">CU27</f>
        <v>Conduction_lat[1][4]</v>
      </c>
      <c r="CW27" s="31" t="str">
        <f t="shared" ref="CW27" si="37">CV27</f>
        <v>Conduction_lat[1][4]</v>
      </c>
      <c r="CX27" s="31" t="str">
        <f t="shared" ref="CX27" si="38">CW27</f>
        <v>Conduction_lat[1][4]</v>
      </c>
      <c r="CY27" s="31" t="str">
        <f t="shared" ref="CY27" si="39">CX27</f>
        <v>Conduction_lat[1][4]</v>
      </c>
      <c r="CZ27" s="31" t="str">
        <f t="shared" ref="CZ27" si="40">CY27</f>
        <v>Conduction_lat[1][4]</v>
      </c>
      <c r="DA27" s="31" t="str">
        <f t="shared" ref="DA27" si="41">CZ27</f>
        <v>Conduction_lat[1][4]</v>
      </c>
      <c r="DB27" s="31" t="str">
        <f t="shared" ref="DB27" si="42">DA27</f>
        <v>Conduction_lat[1][4]</v>
      </c>
      <c r="DC27" s="31" t="str">
        <f t="shared" ref="DC27" si="43">DB27</f>
        <v>Conduction_lat[1][4]</v>
      </c>
      <c r="DD27" s="31" t="str">
        <f t="shared" ref="DD27" si="44">DC27</f>
        <v>Conduction_lat[1][4]</v>
      </c>
      <c r="DE27" s="31" t="str">
        <f t="shared" ref="DE27" si="45">DD27</f>
        <v>Conduction_lat[1][4]</v>
      </c>
      <c r="DF27" s="31" t="str">
        <f t="shared" ref="DF27" si="46">DE27</f>
        <v>Conduction_lat[1][4]</v>
      </c>
      <c r="DG27" s="31" t="str">
        <f t="shared" ref="DG27" si="47">DF27</f>
        <v>Conduction_lat[1][4]</v>
      </c>
      <c r="DH27" s="31" t="str">
        <f t="shared" ref="DH27" si="48">DG27</f>
        <v>Conduction_lat[1][4]</v>
      </c>
      <c r="DI27" s="31" t="str">
        <f t="shared" ref="DI27" si="49">DH27</f>
        <v>Conduction_lat[1][4]</v>
      </c>
      <c r="DJ27" s="31" t="str">
        <f t="shared" ref="DJ27" si="50">DI27</f>
        <v>Conduction_lat[1][4]</v>
      </c>
      <c r="DK27" s="17"/>
      <c r="DN27" s="30" t="str">
        <f>DN26</f>
        <v>NodeSS[1][5]</v>
      </c>
      <c r="DO27" s="31" t="str">
        <f>DN27&amp;"."&amp;DQ27</f>
        <v>NodeSS[1][5].sumQ[W]</v>
      </c>
      <c r="DP27" s="15" t="s">
        <v>87</v>
      </c>
      <c r="DQ27" s="15" t="s">
        <v>65</v>
      </c>
      <c r="DR27" s="28">
        <f ca="1">SUM(DR22,DZ30,DR40,DJ30)</f>
        <v>6.3664629124104977E-12</v>
      </c>
      <c r="DS27" s="17"/>
      <c r="DV27" s="30" t="str">
        <f>DV26</f>
        <v>Conduction_lat[1][5]</v>
      </c>
      <c r="DW27" s="31" t="str">
        <f>DV27</f>
        <v>Conduction_lat[1][5]</v>
      </c>
      <c r="DX27" s="31" t="str">
        <f t="shared" ref="DX27" si="51">DW27</f>
        <v>Conduction_lat[1][5]</v>
      </c>
      <c r="DY27" s="31" t="str">
        <f t="shared" ref="DY27" si="52">DX27</f>
        <v>Conduction_lat[1][5]</v>
      </c>
      <c r="DZ27" s="31" t="str">
        <f t="shared" ref="DZ27" si="53">DY27</f>
        <v>Conduction_lat[1][5]</v>
      </c>
      <c r="EA27" s="31" t="str">
        <f t="shared" ref="EA27" si="54">DZ27</f>
        <v>Conduction_lat[1][5]</v>
      </c>
      <c r="EB27" s="31" t="str">
        <f t="shared" ref="EB27" si="55">EA27</f>
        <v>Conduction_lat[1][5]</v>
      </c>
      <c r="EC27" s="31" t="str">
        <f t="shared" ref="EC27" si="56">EB27</f>
        <v>Conduction_lat[1][5]</v>
      </c>
      <c r="ED27" s="31" t="str">
        <f t="shared" ref="ED27" si="57">EC27</f>
        <v>Conduction_lat[1][5]</v>
      </c>
      <c r="EE27" s="31" t="str">
        <f t="shared" ref="EE27" si="58">ED27</f>
        <v>Conduction_lat[1][5]</v>
      </c>
      <c r="EF27" s="31" t="str">
        <f t="shared" ref="EF27" si="59">EE27</f>
        <v>Conduction_lat[1][5]</v>
      </c>
      <c r="EG27" s="31" t="str">
        <f t="shared" ref="EG27" si="60">EF27</f>
        <v>Conduction_lat[1][5]</v>
      </c>
      <c r="EH27" s="31" t="str">
        <f t="shared" ref="EH27" si="61">EG27</f>
        <v>Conduction_lat[1][5]</v>
      </c>
      <c r="EI27" s="31" t="str">
        <f t="shared" ref="EI27" si="62">EH27</f>
        <v>Conduction_lat[1][5]</v>
      </c>
      <c r="EJ27" s="31" t="str">
        <f t="shared" ref="EJ27" si="63">EI27</f>
        <v>Conduction_lat[1][5]</v>
      </c>
      <c r="EK27" s="31" t="str">
        <f t="shared" ref="EK27" si="64">EJ27</f>
        <v>Conduction_lat[1][5]</v>
      </c>
      <c r="EL27" s="31" t="str">
        <f t="shared" ref="EL27" si="65">EK27</f>
        <v>Conduction_lat[1][5]</v>
      </c>
      <c r="EM27" s="17"/>
      <c r="EP27" s="30" t="str">
        <f>EP26</f>
        <v>NodeSS[1][6]</v>
      </c>
      <c r="EQ27" s="31" t="str">
        <f>EP27&amp;"."&amp;ES27</f>
        <v>NodeSS[1][6].sumQ[W]</v>
      </c>
      <c r="ER27" s="15" t="s">
        <v>87</v>
      </c>
      <c r="ES27" s="15" t="s">
        <v>65</v>
      </c>
      <c r="ET27" s="28">
        <f>SUM(EL30,FB27)</f>
        <v>0</v>
      </c>
      <c r="EU27" s="17"/>
      <c r="EX27" s="30" t="str">
        <f>EX26</f>
        <v>BoundaryCondition_heat[1][1]</v>
      </c>
      <c r="EY27" s="31" t="str">
        <f>EX27&amp;"."&amp;FA27</f>
        <v>BoundaryCondition_heat[1][1].Q[W]</v>
      </c>
      <c r="EZ27" s="15" t="s">
        <v>88</v>
      </c>
      <c r="FA27" s="15" t="s">
        <v>77</v>
      </c>
      <c r="FB27" s="42">
        <v>300</v>
      </c>
      <c r="FC27" s="17"/>
    </row>
    <row r="28" spans="6:159" ht="17.25" thickBot="1" x14ac:dyDescent="0.4">
      <c r="F28" s="30" t="str">
        <f t="shared" ref="F28" si="66">F27</f>
        <v>NodeSS[1][1]</v>
      </c>
      <c r="G28" s="31" t="str">
        <f>F28&amp;"."&amp;I28</f>
        <v>NodeSS[1][1].T[K]</v>
      </c>
      <c r="H28" s="15" t="s">
        <v>90</v>
      </c>
      <c r="I28" s="15" t="s">
        <v>67</v>
      </c>
      <c r="J28" s="45">
        <f>solver!F56</f>
        <v>1299.4632633383717</v>
      </c>
      <c r="K28" s="17"/>
      <c r="N28" s="30" t="str">
        <f>N27</f>
        <v>Conduction_lat[1][1]</v>
      </c>
      <c r="O28" s="31"/>
      <c r="P28" s="16"/>
      <c r="Q28" s="16"/>
      <c r="R28" s="16"/>
      <c r="S28" s="16"/>
      <c r="T28" s="31" t="str">
        <f>T27</f>
        <v>Conduction_lat[1][1]</v>
      </c>
      <c r="U28" s="31"/>
      <c r="V28" s="16"/>
      <c r="W28" s="16"/>
      <c r="X28" s="16"/>
      <c r="Y28" s="16"/>
      <c r="Z28" s="31" t="str">
        <f>Z27</f>
        <v>Conduction_lat[1][1]</v>
      </c>
      <c r="AA28" s="16"/>
      <c r="AB28" s="16"/>
      <c r="AC28" s="16"/>
      <c r="AD28" s="16"/>
      <c r="AE28" s="17"/>
      <c r="AH28" s="30" t="str">
        <f t="shared" ref="AH28" si="67">AH27</f>
        <v>NodeSS[1][2]</v>
      </c>
      <c r="AI28" s="31" t="str">
        <f>AH28&amp;"."&amp;AK28</f>
        <v>NodeSS[1][2].T[K]</v>
      </c>
      <c r="AJ28" s="15" t="s">
        <v>86</v>
      </c>
      <c r="AK28" s="15" t="s">
        <v>67</v>
      </c>
      <c r="AL28" s="45">
        <f>solver!F57</f>
        <v>1234.6059945580828</v>
      </c>
      <c r="AM28" s="17"/>
      <c r="AP28" s="30" t="str">
        <f>AP27</f>
        <v>Conduction_lat[1][2]</v>
      </c>
      <c r="AQ28" s="31"/>
      <c r="AR28" s="16"/>
      <c r="AS28" s="16"/>
      <c r="AT28" s="16"/>
      <c r="AU28" s="16"/>
      <c r="AV28" s="31" t="str">
        <f>AV27</f>
        <v>Conduction_lat[1][2]</v>
      </c>
      <c r="AW28" s="31"/>
      <c r="AX28" s="16"/>
      <c r="AY28" s="16"/>
      <c r="AZ28" s="16"/>
      <c r="BA28" s="16"/>
      <c r="BB28" s="31" t="str">
        <f>BB27</f>
        <v>Conduction_lat[1][2]</v>
      </c>
      <c r="BC28" s="16"/>
      <c r="BD28" s="16"/>
      <c r="BE28" s="16"/>
      <c r="BF28" s="16"/>
      <c r="BG28" s="17"/>
      <c r="BJ28" s="30" t="str">
        <f t="shared" ref="BJ28" si="68">BJ27</f>
        <v>NodeSS[1][3]</v>
      </c>
      <c r="BK28" s="31" t="str">
        <f>BJ28&amp;"."&amp;BM28</f>
        <v>NodeSS[1][3].T[K]</v>
      </c>
      <c r="BL28" s="15" t="s">
        <v>86</v>
      </c>
      <c r="BM28" s="15" t="s">
        <v>67</v>
      </c>
      <c r="BN28" s="45">
        <f>solver!F58</f>
        <v>1264.0837937286185</v>
      </c>
      <c r="BO28" s="17"/>
      <c r="BR28" s="30" t="str">
        <f>BR27</f>
        <v>Conduction_lat[1][3]</v>
      </c>
      <c r="BS28" s="31"/>
      <c r="BT28" s="16"/>
      <c r="BU28" s="16"/>
      <c r="BV28" s="16"/>
      <c r="BW28" s="16"/>
      <c r="BX28" s="31" t="str">
        <f>BX27</f>
        <v>Conduction_lat[1][3]</v>
      </c>
      <c r="BY28" s="31"/>
      <c r="BZ28" s="16"/>
      <c r="CA28" s="16"/>
      <c r="CB28" s="16"/>
      <c r="CC28" s="16"/>
      <c r="CD28" s="31" t="str">
        <f>CD27</f>
        <v>Conduction_lat[1][3]</v>
      </c>
      <c r="CE28" s="16"/>
      <c r="CF28" s="16"/>
      <c r="CG28" s="16"/>
      <c r="CH28" s="16"/>
      <c r="CI28" s="17"/>
      <c r="CL28" s="30" t="str">
        <f t="shared" ref="CL28" si="69">CL27</f>
        <v>NodeSS[1][4]</v>
      </c>
      <c r="CM28" s="31" t="str">
        <f>CL28&amp;"."&amp;CO28</f>
        <v>NodeSS[1][4].T[K]</v>
      </c>
      <c r="CN28" s="15" t="s">
        <v>86</v>
      </c>
      <c r="CO28" s="15" t="s">
        <v>67</v>
      </c>
      <c r="CP28" s="45">
        <f>solver!F59</f>
        <v>1101.279435425686</v>
      </c>
      <c r="CQ28" s="17"/>
      <c r="CT28" s="30" t="str">
        <f>CT27</f>
        <v>Conduction_lat[1][4]</v>
      </c>
      <c r="CU28" s="31"/>
      <c r="CV28" s="16"/>
      <c r="CW28" s="16"/>
      <c r="CX28" s="16"/>
      <c r="CY28" s="16"/>
      <c r="CZ28" s="31" t="str">
        <f>CZ27</f>
        <v>Conduction_lat[1][4]</v>
      </c>
      <c r="DA28" s="31"/>
      <c r="DB28" s="16"/>
      <c r="DC28" s="16"/>
      <c r="DD28" s="16"/>
      <c r="DE28" s="16"/>
      <c r="DF28" s="31" t="str">
        <f>DF27</f>
        <v>Conduction_lat[1][4]</v>
      </c>
      <c r="DG28" s="16"/>
      <c r="DH28" s="16"/>
      <c r="DI28" s="16"/>
      <c r="DJ28" s="16"/>
      <c r="DK28" s="17"/>
      <c r="DN28" s="30" t="str">
        <f t="shared" ref="DN28" si="70">DN27</f>
        <v>NodeSS[1][5]</v>
      </c>
      <c r="DO28" s="31" t="str">
        <f>DN28&amp;"."&amp;DQ28</f>
        <v>NodeSS[1][5].T[K]</v>
      </c>
      <c r="DP28" s="15" t="s">
        <v>86</v>
      </c>
      <c r="DQ28" s="15" t="s">
        <v>67</v>
      </c>
      <c r="DR28" s="45">
        <f>solver!F60</f>
        <v>1032.9008462825743</v>
      </c>
      <c r="DS28" s="17"/>
      <c r="DV28" s="30" t="str">
        <f>DV27</f>
        <v>Conduction_lat[1][5]</v>
      </c>
      <c r="DW28" s="31"/>
      <c r="DX28" s="16"/>
      <c r="DY28" s="16"/>
      <c r="DZ28" s="16"/>
      <c r="EA28" s="16"/>
      <c r="EB28" s="31" t="str">
        <f>EB27</f>
        <v>Conduction_lat[1][5]</v>
      </c>
      <c r="EC28" s="31"/>
      <c r="ED28" s="16"/>
      <c r="EE28" s="16"/>
      <c r="EF28" s="16"/>
      <c r="EG28" s="16"/>
      <c r="EH28" s="31" t="str">
        <f>EH27</f>
        <v>Conduction_lat[1][5]</v>
      </c>
      <c r="EI28" s="16"/>
      <c r="EJ28" s="16"/>
      <c r="EK28" s="16"/>
      <c r="EL28" s="16"/>
      <c r="EM28" s="17"/>
      <c r="EP28" s="30" t="str">
        <f t="shared" ref="EP28" si="71">EP27</f>
        <v>NodeSS[1][6]</v>
      </c>
      <c r="EQ28" s="31" t="str">
        <f>EP28&amp;"."&amp;ES28</f>
        <v>NodeSS[1][6].T[K]</v>
      </c>
      <c r="ER28" s="15" t="s">
        <v>86</v>
      </c>
      <c r="ES28" s="15" t="s">
        <v>67</v>
      </c>
      <c r="ET28" s="45">
        <f>solver!F61</f>
        <v>732.90084628257443</v>
      </c>
      <c r="EU28" s="17"/>
      <c r="EX28" s="37" t="s">
        <v>69</v>
      </c>
      <c r="EY28" s="18"/>
      <c r="EZ28" s="40"/>
      <c r="FA28" s="40"/>
      <c r="FB28" s="18"/>
      <c r="FC28" s="39" t="s">
        <v>69</v>
      </c>
    </row>
    <row r="29" spans="6:159" ht="17.25" thickBot="1" x14ac:dyDescent="0.4">
      <c r="F29" s="37" t="s">
        <v>69</v>
      </c>
      <c r="G29" s="18"/>
      <c r="H29" s="40"/>
      <c r="I29" s="40"/>
      <c r="J29" s="18"/>
      <c r="K29" s="39" t="s">
        <v>69</v>
      </c>
      <c r="N29" s="30" t="str">
        <f t="shared" ref="N29:N35" si="72">N28</f>
        <v>Conduction_lat[1][1]</v>
      </c>
      <c r="O29" s="31" t="str">
        <f>N29&amp;"."&amp;Q29</f>
        <v>Conduction_lat[1][1].T1[K]</v>
      </c>
      <c r="P29" s="15" t="s">
        <v>87</v>
      </c>
      <c r="Q29" s="15" t="s">
        <v>63</v>
      </c>
      <c r="R29" s="28">
        <f>J28</f>
        <v>1299.4632633383717</v>
      </c>
      <c r="S29" s="16"/>
      <c r="T29" s="31" t="str">
        <f t="shared" ref="T29:T35" si="73">T28</f>
        <v>Conduction_lat[1][1]</v>
      </c>
      <c r="U29" s="31" t="str">
        <f>T29&amp;"."&amp;W29</f>
        <v>Conduction_lat[1][1].A[m2]</v>
      </c>
      <c r="V29" s="19" t="s">
        <v>87</v>
      </c>
      <c r="W29" s="20" t="s">
        <v>50</v>
      </c>
      <c r="X29" s="43">
        <v>0.01</v>
      </c>
      <c r="Y29" s="16"/>
      <c r="Z29" s="31" t="str">
        <f t="shared" ref="Z29:Z30" si="74">Z28</f>
        <v>Conduction_lat[1][1]</v>
      </c>
      <c r="AA29" s="31" t="str">
        <f>Z29&amp;"."&amp;AC29</f>
        <v>Conduction_lat[1][1].T2[K]</v>
      </c>
      <c r="AB29" s="15" t="s">
        <v>87</v>
      </c>
      <c r="AC29" s="15" t="s">
        <v>59</v>
      </c>
      <c r="AD29" s="28">
        <f>AL28</f>
        <v>1234.6059945580828</v>
      </c>
      <c r="AE29" s="17"/>
      <c r="AH29" s="37" t="s">
        <v>69</v>
      </c>
      <c r="AI29" s="18"/>
      <c r="AJ29" s="40"/>
      <c r="AK29" s="40"/>
      <c r="AL29" s="18"/>
      <c r="AM29" s="39" t="s">
        <v>69</v>
      </c>
      <c r="AP29" s="30" t="str">
        <f t="shared" ref="AP29:AP35" si="75">AP28</f>
        <v>Conduction_lat[1][2]</v>
      </c>
      <c r="AQ29" s="31" t="str">
        <f>AP29&amp;"."&amp;AS29</f>
        <v>Conduction_lat[1][2].T1[K]</v>
      </c>
      <c r="AR29" s="15" t="s">
        <v>87</v>
      </c>
      <c r="AS29" s="15" t="s">
        <v>63</v>
      </c>
      <c r="AT29" s="28">
        <f>AL28</f>
        <v>1234.6059945580828</v>
      </c>
      <c r="AU29" s="16"/>
      <c r="AV29" s="31" t="str">
        <f t="shared" ref="AV29:AV35" si="76">AV28</f>
        <v>Conduction_lat[1][2]</v>
      </c>
      <c r="AW29" s="31" t="str">
        <f>AV29&amp;"."&amp;AY29</f>
        <v>Conduction_lat[1][2].A[m2]</v>
      </c>
      <c r="AX29" s="19" t="s">
        <v>87</v>
      </c>
      <c r="AY29" s="20" t="s">
        <v>50</v>
      </c>
      <c r="AZ29" s="43">
        <v>0.01</v>
      </c>
      <c r="BA29" s="16"/>
      <c r="BB29" s="31" t="str">
        <f t="shared" ref="BB29:BB30" si="77">BB28</f>
        <v>Conduction_lat[1][2]</v>
      </c>
      <c r="BC29" s="31" t="str">
        <f>BB29&amp;"."&amp;BE29</f>
        <v>Conduction_lat[1][2].T2[K]</v>
      </c>
      <c r="BD29" s="15" t="s">
        <v>87</v>
      </c>
      <c r="BE29" s="15" t="s">
        <v>59</v>
      </c>
      <c r="BF29" s="28">
        <f>BN28</f>
        <v>1264.0837937286185</v>
      </c>
      <c r="BG29" s="17"/>
      <c r="BJ29" s="37" t="s">
        <v>69</v>
      </c>
      <c r="BK29" s="18"/>
      <c r="BL29" s="40"/>
      <c r="BM29" s="40"/>
      <c r="BN29" s="18"/>
      <c r="BO29" s="39" t="s">
        <v>69</v>
      </c>
      <c r="BR29" s="30" t="str">
        <f t="shared" ref="BR29:BR35" si="78">BR28</f>
        <v>Conduction_lat[1][3]</v>
      </c>
      <c r="BS29" s="31" t="str">
        <f>BR29&amp;"."&amp;BU29</f>
        <v>Conduction_lat[1][3].T1[K]</v>
      </c>
      <c r="BT29" s="15" t="s">
        <v>87</v>
      </c>
      <c r="BU29" s="15" t="s">
        <v>63</v>
      </c>
      <c r="BV29" s="28">
        <f>BN28</f>
        <v>1264.0837937286185</v>
      </c>
      <c r="BW29" s="16"/>
      <c r="BX29" s="31" t="str">
        <f t="shared" ref="BX29:BX35" si="79">BX28</f>
        <v>Conduction_lat[1][3]</v>
      </c>
      <c r="BY29" s="31" t="str">
        <f>BX29&amp;"."&amp;CA29</f>
        <v>Conduction_lat[1][3].A[m2]</v>
      </c>
      <c r="BZ29" s="19" t="s">
        <v>87</v>
      </c>
      <c r="CA29" s="20" t="s">
        <v>50</v>
      </c>
      <c r="CB29" s="43">
        <v>0.01</v>
      </c>
      <c r="CC29" s="16"/>
      <c r="CD29" s="31" t="str">
        <f t="shared" ref="CD29:CD30" si="80">CD28</f>
        <v>Conduction_lat[1][3]</v>
      </c>
      <c r="CE29" s="31" t="str">
        <f>CD29&amp;"."&amp;CG29</f>
        <v>Conduction_lat[1][3].T2[K]</v>
      </c>
      <c r="CF29" s="15" t="s">
        <v>87</v>
      </c>
      <c r="CG29" s="15" t="s">
        <v>59</v>
      </c>
      <c r="CH29" s="28">
        <f>CP28</f>
        <v>1101.279435425686</v>
      </c>
      <c r="CI29" s="17"/>
      <c r="CL29" s="37" t="s">
        <v>69</v>
      </c>
      <c r="CM29" s="18"/>
      <c r="CN29" s="40"/>
      <c r="CO29" s="40"/>
      <c r="CP29" s="18"/>
      <c r="CQ29" s="39" t="s">
        <v>69</v>
      </c>
      <c r="CT29" s="30" t="str">
        <f t="shared" ref="CT29:CT35" si="81">CT28</f>
        <v>Conduction_lat[1][4]</v>
      </c>
      <c r="CU29" s="31" t="str">
        <f>CT29&amp;"."&amp;CW29</f>
        <v>Conduction_lat[1][4].T1[K]</v>
      </c>
      <c r="CV29" s="15" t="s">
        <v>87</v>
      </c>
      <c r="CW29" s="15" t="s">
        <v>63</v>
      </c>
      <c r="CX29" s="28">
        <f>CP28</f>
        <v>1101.279435425686</v>
      </c>
      <c r="CY29" s="16"/>
      <c r="CZ29" s="31" t="str">
        <f t="shared" ref="CZ29:CZ35" si="82">CZ28</f>
        <v>Conduction_lat[1][4]</v>
      </c>
      <c r="DA29" s="31" t="str">
        <f>CZ29&amp;"."&amp;DC29</f>
        <v>Conduction_lat[1][4].A[m2]</v>
      </c>
      <c r="DB29" s="19" t="s">
        <v>87</v>
      </c>
      <c r="DC29" s="20" t="s">
        <v>50</v>
      </c>
      <c r="DD29" s="43">
        <v>0.01</v>
      </c>
      <c r="DE29" s="16"/>
      <c r="DF29" s="31" t="str">
        <f t="shared" ref="DF29:DF30" si="83">DF28</f>
        <v>Conduction_lat[1][4]</v>
      </c>
      <c r="DG29" s="31" t="str">
        <f>DF29&amp;"."&amp;DI29</f>
        <v>Conduction_lat[1][4].T2[K]</v>
      </c>
      <c r="DH29" s="15" t="s">
        <v>87</v>
      </c>
      <c r="DI29" s="15" t="s">
        <v>59</v>
      </c>
      <c r="DJ29" s="28">
        <f>DR28</f>
        <v>1032.9008462825743</v>
      </c>
      <c r="DK29" s="17"/>
      <c r="DN29" s="37" t="s">
        <v>69</v>
      </c>
      <c r="DO29" s="18"/>
      <c r="DP29" s="40"/>
      <c r="DQ29" s="40"/>
      <c r="DR29" s="18"/>
      <c r="DS29" s="39" t="s">
        <v>69</v>
      </c>
      <c r="DV29" s="30" t="str">
        <f t="shared" ref="DV29:DV35" si="84">DV28</f>
        <v>Conduction_lat[1][5]</v>
      </c>
      <c r="DW29" s="31" t="str">
        <f>DV29&amp;"."&amp;DY29</f>
        <v>Conduction_lat[1][5].T1[K]</v>
      </c>
      <c r="DX29" s="15" t="s">
        <v>87</v>
      </c>
      <c r="DY29" s="15" t="s">
        <v>63</v>
      </c>
      <c r="DZ29" s="28">
        <f>DR28</f>
        <v>1032.9008462825743</v>
      </c>
      <c r="EA29" s="16"/>
      <c r="EB29" s="31" t="str">
        <f t="shared" ref="EB29:EB35" si="85">EB28</f>
        <v>Conduction_lat[1][5]</v>
      </c>
      <c r="EC29" s="31" t="str">
        <f>EB29&amp;"."&amp;EE29</f>
        <v>Conduction_lat[1][5].A[m2]</v>
      </c>
      <c r="ED29" s="19" t="s">
        <v>87</v>
      </c>
      <c r="EE29" s="20" t="s">
        <v>50</v>
      </c>
      <c r="EF29" s="43">
        <v>0.01</v>
      </c>
      <c r="EG29" s="16"/>
      <c r="EH29" s="31" t="str">
        <f t="shared" ref="EH29:EH30" si="86">EH28</f>
        <v>Conduction_lat[1][5]</v>
      </c>
      <c r="EI29" s="31" t="str">
        <f>EH29&amp;"."&amp;EK29</f>
        <v>Conduction_lat[1][5].T2[K]</v>
      </c>
      <c r="EJ29" s="15" t="s">
        <v>87</v>
      </c>
      <c r="EK29" s="15" t="s">
        <v>59</v>
      </c>
      <c r="EL29" s="28">
        <f>ET28</f>
        <v>732.90084628257443</v>
      </c>
      <c r="EM29" s="17"/>
      <c r="EP29" s="37" t="s">
        <v>69</v>
      </c>
      <c r="EQ29" s="18"/>
      <c r="ER29" s="40"/>
      <c r="ES29" s="40"/>
      <c r="ET29" s="18"/>
      <c r="EU29" s="39" t="s">
        <v>69</v>
      </c>
    </row>
    <row r="30" spans="6:159" x14ac:dyDescent="0.35">
      <c r="N30" s="30" t="str">
        <f t="shared" si="72"/>
        <v>Conduction_lat[1][1]</v>
      </c>
      <c r="O30" s="31" t="str">
        <f>N30&amp;"."&amp;Q30</f>
        <v>Conduction_lat[1][1].Q1in[W]</v>
      </c>
      <c r="P30" s="15" t="s">
        <v>89</v>
      </c>
      <c r="Q30" s="15" t="s">
        <v>62</v>
      </c>
      <c r="R30" s="16">
        <f>X33</f>
        <v>64.857268780288905</v>
      </c>
      <c r="S30" s="16"/>
      <c r="T30" s="31" t="str">
        <f t="shared" si="73"/>
        <v>Conduction_lat[1][1]</v>
      </c>
      <c r="U30" s="31" t="str">
        <f t="shared" ref="U30:U34" si="87">T30&amp;"."&amp;W30</f>
        <v>Conduction_lat[1][1].th[m]</v>
      </c>
      <c r="V30" s="24" t="s">
        <v>87</v>
      </c>
      <c r="W30" s="16" t="s">
        <v>52</v>
      </c>
      <c r="X30" s="41">
        <v>0.1</v>
      </c>
      <c r="Y30" s="16"/>
      <c r="Z30" s="31" t="str">
        <f t="shared" si="74"/>
        <v>Conduction_lat[1][1]</v>
      </c>
      <c r="AA30" s="31" t="str">
        <f>Z30&amp;"."&amp;AC30</f>
        <v>Conduction_lat[1][1].Q2in[W]</v>
      </c>
      <c r="AB30" s="15" t="s">
        <v>91</v>
      </c>
      <c r="AC30" s="15" t="s">
        <v>61</v>
      </c>
      <c r="AD30" s="16">
        <f>X34</f>
        <v>-64.857268780288905</v>
      </c>
      <c r="AE30" s="17"/>
      <c r="AP30" s="30" t="str">
        <f t="shared" si="75"/>
        <v>Conduction_lat[1][2]</v>
      </c>
      <c r="AQ30" s="31" t="str">
        <f>AP30&amp;"."&amp;AS30</f>
        <v>Conduction_lat[1][2].Q1in[W]</v>
      </c>
      <c r="AR30" s="15" t="s">
        <v>89</v>
      </c>
      <c r="AS30" s="15" t="s">
        <v>62</v>
      </c>
      <c r="AT30" s="16">
        <f>AZ33</f>
        <v>-29.477799170535718</v>
      </c>
      <c r="AU30" s="16"/>
      <c r="AV30" s="31" t="str">
        <f t="shared" si="76"/>
        <v>Conduction_lat[1][2]</v>
      </c>
      <c r="AW30" s="31" t="str">
        <f t="shared" ref="AW30:AW31" si="88">AV30&amp;"."&amp;AY30</f>
        <v>Conduction_lat[1][2].th[m]</v>
      </c>
      <c r="AX30" s="24" t="s">
        <v>87</v>
      </c>
      <c r="AY30" s="16" t="s">
        <v>52</v>
      </c>
      <c r="AZ30" s="41">
        <v>0.1</v>
      </c>
      <c r="BA30" s="16"/>
      <c r="BB30" s="31" t="str">
        <f t="shared" si="77"/>
        <v>Conduction_lat[1][2]</v>
      </c>
      <c r="BC30" s="31" t="str">
        <f>BB30&amp;"."&amp;BE30</f>
        <v>Conduction_lat[1][2].Q2in[W]</v>
      </c>
      <c r="BD30" s="15" t="s">
        <v>91</v>
      </c>
      <c r="BE30" s="15" t="s">
        <v>61</v>
      </c>
      <c r="BF30" s="16">
        <f>AZ34</f>
        <v>29.477799170535718</v>
      </c>
      <c r="BG30" s="17"/>
      <c r="BR30" s="30" t="str">
        <f t="shared" si="78"/>
        <v>Conduction_lat[1][3]</v>
      </c>
      <c r="BS30" s="31" t="str">
        <f>BR30&amp;"."&amp;BU30</f>
        <v>Conduction_lat[1][3].Q1in[W]</v>
      </c>
      <c r="BT30" s="15" t="s">
        <v>89</v>
      </c>
      <c r="BU30" s="15" t="s">
        <v>62</v>
      </c>
      <c r="BV30" s="16">
        <f>CB33</f>
        <v>162.80435830293254</v>
      </c>
      <c r="BW30" s="16"/>
      <c r="BX30" s="31" t="str">
        <f t="shared" si="79"/>
        <v>Conduction_lat[1][3]</v>
      </c>
      <c r="BY30" s="31" t="str">
        <f t="shared" ref="BY30:BY31" si="89">BX30&amp;"."&amp;CA30</f>
        <v>Conduction_lat[1][3].th[m]</v>
      </c>
      <c r="BZ30" s="24" t="s">
        <v>87</v>
      </c>
      <c r="CA30" s="16" t="s">
        <v>52</v>
      </c>
      <c r="CB30" s="41">
        <v>0.1</v>
      </c>
      <c r="CC30" s="16"/>
      <c r="CD30" s="31" t="str">
        <f t="shared" si="80"/>
        <v>Conduction_lat[1][3]</v>
      </c>
      <c r="CE30" s="31" t="str">
        <f>CD30&amp;"."&amp;CG30</f>
        <v>Conduction_lat[1][3].Q2in[W]</v>
      </c>
      <c r="CF30" s="15" t="s">
        <v>91</v>
      </c>
      <c r="CG30" s="15" t="s">
        <v>61</v>
      </c>
      <c r="CH30" s="16">
        <f>CB34</f>
        <v>-162.80435830293254</v>
      </c>
      <c r="CI30" s="17"/>
      <c r="CT30" s="30" t="str">
        <f t="shared" si="81"/>
        <v>Conduction_lat[1][4]</v>
      </c>
      <c r="CU30" s="31" t="str">
        <f>CT30&amp;"."&amp;CW30</f>
        <v>Conduction_lat[1][4].Q1in[W]</v>
      </c>
      <c r="CV30" s="15" t="s">
        <v>89</v>
      </c>
      <c r="CW30" s="15" t="s">
        <v>62</v>
      </c>
      <c r="CX30" s="16">
        <f>DD33</f>
        <v>68.37858914311164</v>
      </c>
      <c r="CY30" s="16"/>
      <c r="CZ30" s="31" t="str">
        <f t="shared" si="82"/>
        <v>Conduction_lat[1][4]</v>
      </c>
      <c r="DA30" s="31" t="str">
        <f t="shared" ref="DA30:DA31" si="90">CZ30&amp;"."&amp;DC30</f>
        <v>Conduction_lat[1][4].th[m]</v>
      </c>
      <c r="DB30" s="24" t="s">
        <v>87</v>
      </c>
      <c r="DC30" s="16" t="s">
        <v>52</v>
      </c>
      <c r="DD30" s="41">
        <v>0.1</v>
      </c>
      <c r="DE30" s="16"/>
      <c r="DF30" s="31" t="str">
        <f t="shared" si="83"/>
        <v>Conduction_lat[1][4]</v>
      </c>
      <c r="DG30" s="31" t="str">
        <f>DF30&amp;"."&amp;DI30</f>
        <v>Conduction_lat[1][4].Q2in[W]</v>
      </c>
      <c r="DH30" s="15" t="s">
        <v>91</v>
      </c>
      <c r="DI30" s="15" t="s">
        <v>61</v>
      </c>
      <c r="DJ30" s="16">
        <f>DD34</f>
        <v>-68.37858914311164</v>
      </c>
      <c r="DK30" s="17"/>
      <c r="DV30" s="30" t="str">
        <f t="shared" si="84"/>
        <v>Conduction_lat[1][5]</v>
      </c>
      <c r="DW30" s="31" t="str">
        <f>DV30&amp;"."&amp;DY30</f>
        <v>Conduction_lat[1][5].Q1in[W]</v>
      </c>
      <c r="DX30" s="15" t="s">
        <v>89</v>
      </c>
      <c r="DY30" s="15" t="s">
        <v>62</v>
      </c>
      <c r="DZ30" s="16">
        <f>EF33</f>
        <v>299.99999999999989</v>
      </c>
      <c r="EA30" s="16"/>
      <c r="EB30" s="31" t="str">
        <f t="shared" si="85"/>
        <v>Conduction_lat[1][5]</v>
      </c>
      <c r="EC30" s="31" t="str">
        <f t="shared" ref="EC30:EC31" si="91">EB30&amp;"."&amp;EE30</f>
        <v>Conduction_lat[1][5].th[m]</v>
      </c>
      <c r="ED30" s="24" t="s">
        <v>87</v>
      </c>
      <c r="EE30" s="16" t="s">
        <v>52</v>
      </c>
      <c r="EF30" s="41">
        <v>0.1</v>
      </c>
      <c r="EG30" s="16"/>
      <c r="EH30" s="31" t="str">
        <f t="shared" si="86"/>
        <v>Conduction_lat[1][5]</v>
      </c>
      <c r="EI30" s="31" t="str">
        <f>EH30&amp;"."&amp;EK30</f>
        <v>Conduction_lat[1][5].Q2in[W]</v>
      </c>
      <c r="EJ30" s="15" t="s">
        <v>91</v>
      </c>
      <c r="EK30" s="15" t="s">
        <v>61</v>
      </c>
      <c r="EL30" s="16">
        <f>EF34</f>
        <v>-299.99999999999989</v>
      </c>
      <c r="EM30" s="17"/>
    </row>
    <row r="31" spans="6:159" x14ac:dyDescent="0.35">
      <c r="N31" s="30" t="str">
        <f t="shared" si="72"/>
        <v>Conduction_lat[1][1]</v>
      </c>
      <c r="O31" s="16"/>
      <c r="P31" s="16"/>
      <c r="Q31" s="16"/>
      <c r="R31" s="16"/>
      <c r="S31" s="16"/>
      <c r="T31" s="31" t="str">
        <f t="shared" si="73"/>
        <v>Conduction_lat[1][1]</v>
      </c>
      <c r="U31" s="31" t="str">
        <f t="shared" si="87"/>
        <v>Conduction_lat[1][1].rambda[W/(m*K)]</v>
      </c>
      <c r="V31" s="24" t="s">
        <v>87</v>
      </c>
      <c r="W31" s="16" t="s">
        <v>54</v>
      </c>
      <c r="X31" s="41">
        <v>10</v>
      </c>
      <c r="Y31" s="16"/>
      <c r="Z31" s="31"/>
      <c r="AA31" s="16"/>
      <c r="AB31" s="16"/>
      <c r="AC31" s="16"/>
      <c r="AD31" s="16"/>
      <c r="AE31" s="17"/>
      <c r="AP31" s="30" t="str">
        <f t="shared" si="75"/>
        <v>Conduction_lat[1][2]</v>
      </c>
      <c r="AQ31" s="16"/>
      <c r="AR31" s="16"/>
      <c r="AS31" s="16"/>
      <c r="AT31" s="16"/>
      <c r="AU31" s="16"/>
      <c r="AV31" s="31" t="str">
        <f t="shared" si="76"/>
        <v>Conduction_lat[1][2]</v>
      </c>
      <c r="AW31" s="31" t="str">
        <f t="shared" si="88"/>
        <v>Conduction_lat[1][2].rambda[W/(m*K)]</v>
      </c>
      <c r="AX31" s="24" t="s">
        <v>87</v>
      </c>
      <c r="AY31" s="16" t="s">
        <v>54</v>
      </c>
      <c r="AZ31" s="41">
        <v>10</v>
      </c>
      <c r="BA31" s="16"/>
      <c r="BB31" s="31"/>
      <c r="BC31" s="16"/>
      <c r="BD31" s="16"/>
      <c r="BE31" s="16"/>
      <c r="BF31" s="16"/>
      <c r="BG31" s="17"/>
      <c r="BR31" s="30" t="str">
        <f t="shared" si="78"/>
        <v>Conduction_lat[1][3]</v>
      </c>
      <c r="BS31" s="16"/>
      <c r="BT31" s="16"/>
      <c r="BU31" s="16"/>
      <c r="BV31" s="16"/>
      <c r="BW31" s="16"/>
      <c r="BX31" s="31" t="str">
        <f t="shared" si="79"/>
        <v>Conduction_lat[1][3]</v>
      </c>
      <c r="BY31" s="31" t="str">
        <f t="shared" si="89"/>
        <v>Conduction_lat[1][3].rambda[W/(m*K)]</v>
      </c>
      <c r="BZ31" s="24" t="s">
        <v>87</v>
      </c>
      <c r="CA31" s="16" t="s">
        <v>54</v>
      </c>
      <c r="CB31" s="41">
        <v>10</v>
      </c>
      <c r="CC31" s="16"/>
      <c r="CD31" s="31"/>
      <c r="CE31" s="16"/>
      <c r="CF31" s="16"/>
      <c r="CG31" s="16"/>
      <c r="CH31" s="16"/>
      <c r="CI31" s="17"/>
      <c r="CT31" s="30" t="str">
        <f t="shared" si="81"/>
        <v>Conduction_lat[1][4]</v>
      </c>
      <c r="CU31" s="16"/>
      <c r="CV31" s="16"/>
      <c r="CW31" s="16"/>
      <c r="CX31" s="16"/>
      <c r="CY31" s="16"/>
      <c r="CZ31" s="31" t="str">
        <f t="shared" si="82"/>
        <v>Conduction_lat[1][4]</v>
      </c>
      <c r="DA31" s="31" t="str">
        <f t="shared" si="90"/>
        <v>Conduction_lat[1][4].rambda[W/(m*K)]</v>
      </c>
      <c r="DB31" s="24" t="s">
        <v>87</v>
      </c>
      <c r="DC31" s="16" t="s">
        <v>54</v>
      </c>
      <c r="DD31" s="41">
        <v>10</v>
      </c>
      <c r="DE31" s="16"/>
      <c r="DF31" s="31"/>
      <c r="DG31" s="16"/>
      <c r="DH31" s="16"/>
      <c r="DI31" s="16"/>
      <c r="DJ31" s="16"/>
      <c r="DK31" s="17"/>
      <c r="DV31" s="30" t="str">
        <f t="shared" si="84"/>
        <v>Conduction_lat[1][5]</v>
      </c>
      <c r="DW31" s="16"/>
      <c r="DX31" s="16"/>
      <c r="DY31" s="16"/>
      <c r="DZ31" s="16"/>
      <c r="EA31" s="16"/>
      <c r="EB31" s="31" t="str">
        <f t="shared" si="85"/>
        <v>Conduction_lat[1][5]</v>
      </c>
      <c r="EC31" s="31" t="str">
        <f t="shared" si="91"/>
        <v>Conduction_lat[1][5].rambda[W/(m*K)]</v>
      </c>
      <c r="ED31" s="24" t="s">
        <v>87</v>
      </c>
      <c r="EE31" s="16" t="s">
        <v>54</v>
      </c>
      <c r="EF31" s="41">
        <v>10</v>
      </c>
      <c r="EG31" s="16"/>
      <c r="EH31" s="31"/>
      <c r="EI31" s="16"/>
      <c r="EJ31" s="16"/>
      <c r="EK31" s="16"/>
      <c r="EL31" s="16"/>
      <c r="EM31" s="17"/>
    </row>
    <row r="32" spans="6:159" x14ac:dyDescent="0.35">
      <c r="N32" s="30" t="str">
        <f t="shared" si="72"/>
        <v>Conduction_lat[1][1]</v>
      </c>
      <c r="O32" s="16"/>
      <c r="P32" s="16"/>
      <c r="Q32" s="16"/>
      <c r="R32" s="16"/>
      <c r="S32" s="16"/>
      <c r="T32" s="31" t="str">
        <f t="shared" si="73"/>
        <v>Conduction_lat[1][1]</v>
      </c>
      <c r="U32" s="31"/>
      <c r="V32" s="24"/>
      <c r="W32" s="16"/>
      <c r="X32" s="23"/>
      <c r="Y32" s="16"/>
      <c r="Z32" s="31"/>
      <c r="AA32" s="16"/>
      <c r="AB32" s="16"/>
      <c r="AC32" s="16"/>
      <c r="AD32" s="16"/>
      <c r="AE32" s="17"/>
      <c r="AP32" s="30" t="str">
        <f t="shared" si="75"/>
        <v>Conduction_lat[1][2]</v>
      </c>
      <c r="AQ32" s="16"/>
      <c r="AR32" s="16"/>
      <c r="AS32" s="16"/>
      <c r="AT32" s="16"/>
      <c r="AU32" s="16"/>
      <c r="AV32" s="31" t="str">
        <f t="shared" si="76"/>
        <v>Conduction_lat[1][2]</v>
      </c>
      <c r="AW32" s="31"/>
      <c r="AX32" s="24"/>
      <c r="AY32" s="16"/>
      <c r="AZ32" s="23"/>
      <c r="BA32" s="16"/>
      <c r="BB32" s="31"/>
      <c r="BC32" s="16"/>
      <c r="BD32" s="16"/>
      <c r="BE32" s="16"/>
      <c r="BF32" s="16"/>
      <c r="BG32" s="17"/>
      <c r="BR32" s="30" t="str">
        <f t="shared" si="78"/>
        <v>Conduction_lat[1][3]</v>
      </c>
      <c r="BS32" s="16"/>
      <c r="BT32" s="16"/>
      <c r="BU32" s="16"/>
      <c r="BV32" s="16"/>
      <c r="BW32" s="16"/>
      <c r="BX32" s="31" t="str">
        <f t="shared" si="79"/>
        <v>Conduction_lat[1][3]</v>
      </c>
      <c r="BY32" s="31"/>
      <c r="BZ32" s="24"/>
      <c r="CA32" s="16"/>
      <c r="CB32" s="23"/>
      <c r="CC32" s="16"/>
      <c r="CD32" s="31"/>
      <c r="CE32" s="16"/>
      <c r="CF32" s="16"/>
      <c r="CG32" s="16"/>
      <c r="CH32" s="16"/>
      <c r="CI32" s="17"/>
      <c r="CT32" s="30" t="str">
        <f t="shared" si="81"/>
        <v>Conduction_lat[1][4]</v>
      </c>
      <c r="CU32" s="16"/>
      <c r="CV32" s="16"/>
      <c r="CW32" s="16"/>
      <c r="CX32" s="16"/>
      <c r="CY32" s="16"/>
      <c r="CZ32" s="31" t="str">
        <f t="shared" si="82"/>
        <v>Conduction_lat[1][4]</v>
      </c>
      <c r="DA32" s="31"/>
      <c r="DB32" s="24"/>
      <c r="DC32" s="16"/>
      <c r="DD32" s="23"/>
      <c r="DE32" s="16"/>
      <c r="DF32" s="31"/>
      <c r="DG32" s="16"/>
      <c r="DH32" s="16"/>
      <c r="DI32" s="16"/>
      <c r="DJ32" s="16"/>
      <c r="DK32" s="17"/>
      <c r="DV32" s="30" t="str">
        <f t="shared" si="84"/>
        <v>Conduction_lat[1][5]</v>
      </c>
      <c r="DW32" s="16"/>
      <c r="DX32" s="16"/>
      <c r="DY32" s="16"/>
      <c r="DZ32" s="16"/>
      <c r="EA32" s="16"/>
      <c r="EB32" s="31" t="str">
        <f t="shared" si="85"/>
        <v>Conduction_lat[1][5]</v>
      </c>
      <c r="EC32" s="31"/>
      <c r="ED32" s="24"/>
      <c r="EE32" s="16"/>
      <c r="EF32" s="23"/>
      <c r="EG32" s="16"/>
      <c r="EH32" s="31"/>
      <c r="EI32" s="16"/>
      <c r="EJ32" s="16"/>
      <c r="EK32" s="16"/>
      <c r="EL32" s="16"/>
      <c r="EM32" s="17"/>
    </row>
    <row r="33" spans="6:143" x14ac:dyDescent="0.35">
      <c r="N33" s="30" t="str">
        <f t="shared" si="72"/>
        <v>Conduction_lat[1][1]</v>
      </c>
      <c r="O33" s="16"/>
      <c r="P33" s="16"/>
      <c r="Q33" s="16"/>
      <c r="R33" s="16"/>
      <c r="S33" s="16"/>
      <c r="T33" s="31" t="str">
        <f t="shared" si="73"/>
        <v>Conduction_lat[1][1]</v>
      </c>
      <c r="U33" s="31" t="str">
        <f t="shared" si="87"/>
        <v>Conduction_lat[1][1].Q12[W]</v>
      </c>
      <c r="V33" s="24" t="s">
        <v>89</v>
      </c>
      <c r="W33" s="16" t="s">
        <v>56</v>
      </c>
      <c r="X33" s="23">
        <f>X31*X29/X30*(R29-AD29)</f>
        <v>64.857268780288905</v>
      </c>
      <c r="Y33" s="16"/>
      <c r="Z33" s="31"/>
      <c r="AA33" s="16"/>
      <c r="AB33" s="16"/>
      <c r="AC33" s="16"/>
      <c r="AD33" s="16"/>
      <c r="AE33" s="17"/>
      <c r="AP33" s="30" t="str">
        <f t="shared" si="75"/>
        <v>Conduction_lat[1][2]</v>
      </c>
      <c r="AQ33" s="16"/>
      <c r="AR33" s="16"/>
      <c r="AS33" s="16"/>
      <c r="AT33" s="16"/>
      <c r="AU33" s="16"/>
      <c r="AV33" s="31" t="str">
        <f t="shared" si="76"/>
        <v>Conduction_lat[1][2]</v>
      </c>
      <c r="AW33" s="31" t="str">
        <f t="shared" ref="AW33:AW34" si="92">AV33&amp;"."&amp;AY33</f>
        <v>Conduction_lat[1][2].Q12[W]</v>
      </c>
      <c r="AX33" s="24" t="s">
        <v>89</v>
      </c>
      <c r="AY33" s="16" t="s">
        <v>56</v>
      </c>
      <c r="AZ33" s="23">
        <f>AZ31*AZ29/AZ30*(AT29-BF29)</f>
        <v>-29.477799170535718</v>
      </c>
      <c r="BA33" s="16"/>
      <c r="BB33" s="31"/>
      <c r="BC33" s="16"/>
      <c r="BD33" s="16"/>
      <c r="BE33" s="16"/>
      <c r="BF33" s="16"/>
      <c r="BG33" s="17"/>
      <c r="BR33" s="30" t="str">
        <f t="shared" si="78"/>
        <v>Conduction_lat[1][3]</v>
      </c>
      <c r="BS33" s="16"/>
      <c r="BT33" s="16"/>
      <c r="BU33" s="16"/>
      <c r="BV33" s="16"/>
      <c r="BW33" s="16"/>
      <c r="BX33" s="31" t="str">
        <f t="shared" si="79"/>
        <v>Conduction_lat[1][3]</v>
      </c>
      <c r="BY33" s="31" t="str">
        <f t="shared" ref="BY33:BY34" si="93">BX33&amp;"."&amp;CA33</f>
        <v>Conduction_lat[1][3].Q12[W]</v>
      </c>
      <c r="BZ33" s="24" t="s">
        <v>89</v>
      </c>
      <c r="CA33" s="16" t="s">
        <v>56</v>
      </c>
      <c r="CB33" s="23">
        <f>CB31*CB29/CB30*(BV29-CH29)</f>
        <v>162.80435830293254</v>
      </c>
      <c r="CC33" s="16"/>
      <c r="CD33" s="31"/>
      <c r="CE33" s="16"/>
      <c r="CF33" s="16"/>
      <c r="CG33" s="16"/>
      <c r="CH33" s="16"/>
      <c r="CI33" s="17"/>
      <c r="CT33" s="30" t="str">
        <f t="shared" si="81"/>
        <v>Conduction_lat[1][4]</v>
      </c>
      <c r="CU33" s="16"/>
      <c r="CV33" s="16"/>
      <c r="CW33" s="16"/>
      <c r="CX33" s="16"/>
      <c r="CY33" s="16"/>
      <c r="CZ33" s="31" t="str">
        <f t="shared" si="82"/>
        <v>Conduction_lat[1][4]</v>
      </c>
      <c r="DA33" s="31" t="str">
        <f t="shared" ref="DA33:DA34" si="94">CZ33&amp;"."&amp;DC33</f>
        <v>Conduction_lat[1][4].Q12[W]</v>
      </c>
      <c r="DB33" s="24" t="s">
        <v>89</v>
      </c>
      <c r="DC33" s="16" t="s">
        <v>56</v>
      </c>
      <c r="DD33" s="23">
        <f>DD31*DD29/DD30*(CX29-DJ29)</f>
        <v>68.37858914311164</v>
      </c>
      <c r="DE33" s="16"/>
      <c r="DF33" s="31"/>
      <c r="DG33" s="16"/>
      <c r="DH33" s="16"/>
      <c r="DI33" s="16"/>
      <c r="DJ33" s="16"/>
      <c r="DK33" s="17"/>
      <c r="DV33" s="30" t="str">
        <f t="shared" si="84"/>
        <v>Conduction_lat[1][5]</v>
      </c>
      <c r="DW33" s="16"/>
      <c r="DX33" s="16"/>
      <c r="DY33" s="16"/>
      <c r="DZ33" s="16"/>
      <c r="EA33" s="16"/>
      <c r="EB33" s="31" t="str">
        <f t="shared" si="85"/>
        <v>Conduction_lat[1][5]</v>
      </c>
      <c r="EC33" s="31" t="str">
        <f t="shared" ref="EC33:EC34" si="95">EB33&amp;"."&amp;EE33</f>
        <v>Conduction_lat[1][5].Q12[W]</v>
      </c>
      <c r="ED33" s="24" t="s">
        <v>89</v>
      </c>
      <c r="EE33" s="16" t="s">
        <v>56</v>
      </c>
      <c r="EF33" s="23">
        <f>EF31*EF29/EF30*(DZ29-EL29)</f>
        <v>299.99999999999989</v>
      </c>
      <c r="EG33" s="16"/>
      <c r="EH33" s="31"/>
      <c r="EI33" s="16"/>
      <c r="EJ33" s="16"/>
      <c r="EK33" s="16"/>
      <c r="EL33" s="16"/>
      <c r="EM33" s="17"/>
    </row>
    <row r="34" spans="6:143" x14ac:dyDescent="0.35">
      <c r="N34" s="30" t="str">
        <f t="shared" si="72"/>
        <v>Conduction_lat[1][1]</v>
      </c>
      <c r="O34" s="16"/>
      <c r="P34" s="16"/>
      <c r="Q34" s="16"/>
      <c r="R34" s="16"/>
      <c r="S34" s="16"/>
      <c r="T34" s="31" t="str">
        <f t="shared" si="73"/>
        <v>Conduction_lat[1][1]</v>
      </c>
      <c r="U34" s="31" t="str">
        <f t="shared" si="87"/>
        <v>Conduction_lat[1][1].Q21[W]</v>
      </c>
      <c r="V34" s="24" t="s">
        <v>89</v>
      </c>
      <c r="W34" s="16" t="s">
        <v>64</v>
      </c>
      <c r="X34" s="23">
        <f>-1*X33</f>
        <v>-64.857268780288905</v>
      </c>
      <c r="Y34" s="16"/>
      <c r="Z34" s="31"/>
      <c r="AA34" s="16"/>
      <c r="AB34" s="16"/>
      <c r="AC34" s="16"/>
      <c r="AD34" s="16"/>
      <c r="AE34" s="17"/>
      <c r="AP34" s="30" t="str">
        <f t="shared" si="75"/>
        <v>Conduction_lat[1][2]</v>
      </c>
      <c r="AQ34" s="16"/>
      <c r="AR34" s="16"/>
      <c r="AS34" s="16"/>
      <c r="AT34" s="16"/>
      <c r="AU34" s="16"/>
      <c r="AV34" s="31" t="str">
        <f t="shared" si="76"/>
        <v>Conduction_lat[1][2]</v>
      </c>
      <c r="AW34" s="31" t="str">
        <f t="shared" si="92"/>
        <v>Conduction_lat[1][2].Q21[W]</v>
      </c>
      <c r="AX34" s="24" t="s">
        <v>89</v>
      </c>
      <c r="AY34" s="16" t="s">
        <v>64</v>
      </c>
      <c r="AZ34" s="23">
        <f>-1*AZ33</f>
        <v>29.477799170535718</v>
      </c>
      <c r="BA34" s="16"/>
      <c r="BB34" s="31"/>
      <c r="BC34" s="16"/>
      <c r="BD34" s="16"/>
      <c r="BE34" s="16"/>
      <c r="BF34" s="16"/>
      <c r="BG34" s="17"/>
      <c r="BR34" s="30" t="str">
        <f t="shared" si="78"/>
        <v>Conduction_lat[1][3]</v>
      </c>
      <c r="BS34" s="16"/>
      <c r="BT34" s="16"/>
      <c r="BU34" s="16"/>
      <c r="BV34" s="16"/>
      <c r="BW34" s="16"/>
      <c r="BX34" s="31" t="str">
        <f t="shared" si="79"/>
        <v>Conduction_lat[1][3]</v>
      </c>
      <c r="BY34" s="31" t="str">
        <f t="shared" si="93"/>
        <v>Conduction_lat[1][3].Q21[W]</v>
      </c>
      <c r="BZ34" s="24" t="s">
        <v>89</v>
      </c>
      <c r="CA34" s="16" t="s">
        <v>64</v>
      </c>
      <c r="CB34" s="23">
        <f>-1*CB33</f>
        <v>-162.80435830293254</v>
      </c>
      <c r="CC34" s="16"/>
      <c r="CD34" s="31"/>
      <c r="CE34" s="16"/>
      <c r="CF34" s="16"/>
      <c r="CG34" s="16"/>
      <c r="CH34" s="16"/>
      <c r="CI34" s="17"/>
      <c r="CT34" s="30" t="str">
        <f t="shared" si="81"/>
        <v>Conduction_lat[1][4]</v>
      </c>
      <c r="CU34" s="16"/>
      <c r="CV34" s="16"/>
      <c r="CW34" s="16"/>
      <c r="CX34" s="16"/>
      <c r="CY34" s="16"/>
      <c r="CZ34" s="31" t="str">
        <f t="shared" si="82"/>
        <v>Conduction_lat[1][4]</v>
      </c>
      <c r="DA34" s="31" t="str">
        <f t="shared" si="94"/>
        <v>Conduction_lat[1][4].Q21[W]</v>
      </c>
      <c r="DB34" s="24" t="s">
        <v>89</v>
      </c>
      <c r="DC34" s="16" t="s">
        <v>64</v>
      </c>
      <c r="DD34" s="23">
        <f>-1*DD33</f>
        <v>-68.37858914311164</v>
      </c>
      <c r="DE34" s="16"/>
      <c r="DF34" s="31"/>
      <c r="DG34" s="16"/>
      <c r="DH34" s="16"/>
      <c r="DI34" s="16"/>
      <c r="DJ34" s="16"/>
      <c r="DK34" s="17"/>
      <c r="DV34" s="30" t="str">
        <f t="shared" si="84"/>
        <v>Conduction_lat[1][5]</v>
      </c>
      <c r="DW34" s="16"/>
      <c r="DX34" s="16"/>
      <c r="DY34" s="16"/>
      <c r="DZ34" s="16"/>
      <c r="EA34" s="16"/>
      <c r="EB34" s="31" t="str">
        <f t="shared" si="85"/>
        <v>Conduction_lat[1][5]</v>
      </c>
      <c r="EC34" s="31" t="str">
        <f t="shared" si="95"/>
        <v>Conduction_lat[1][5].Q21[W]</v>
      </c>
      <c r="ED34" s="24" t="s">
        <v>89</v>
      </c>
      <c r="EE34" s="16" t="s">
        <v>64</v>
      </c>
      <c r="EF34" s="23">
        <f>-1*EF33</f>
        <v>-299.99999999999989</v>
      </c>
      <c r="EG34" s="16"/>
      <c r="EH34" s="31"/>
      <c r="EI34" s="16"/>
      <c r="EJ34" s="16"/>
      <c r="EK34" s="16"/>
      <c r="EL34" s="16"/>
      <c r="EM34" s="17"/>
    </row>
    <row r="35" spans="6:143" x14ac:dyDescent="0.35">
      <c r="N35" s="30" t="str">
        <f t="shared" si="72"/>
        <v>Conduction_lat[1][1]</v>
      </c>
      <c r="O35" s="16"/>
      <c r="P35" s="16"/>
      <c r="Q35" s="16"/>
      <c r="R35" s="16"/>
      <c r="S35" s="16"/>
      <c r="T35" s="31" t="str">
        <f t="shared" si="73"/>
        <v>Conduction_lat[1][1]</v>
      </c>
      <c r="U35" s="31"/>
      <c r="V35" s="32"/>
      <c r="W35" s="33"/>
      <c r="X35" s="27"/>
      <c r="Y35" s="16"/>
      <c r="Z35" s="31"/>
      <c r="AA35" s="16"/>
      <c r="AB35" s="16"/>
      <c r="AC35" s="16"/>
      <c r="AD35" s="16"/>
      <c r="AE35" s="17"/>
      <c r="AP35" s="30" t="str">
        <f t="shared" si="75"/>
        <v>Conduction_lat[1][2]</v>
      </c>
      <c r="AQ35" s="16"/>
      <c r="AR35" s="16"/>
      <c r="AS35" s="16"/>
      <c r="AT35" s="16"/>
      <c r="AU35" s="16"/>
      <c r="AV35" s="31" t="str">
        <f t="shared" si="76"/>
        <v>Conduction_lat[1][2]</v>
      </c>
      <c r="AW35" s="31"/>
      <c r="AX35" s="32"/>
      <c r="AY35" s="33"/>
      <c r="AZ35" s="27"/>
      <c r="BA35" s="16"/>
      <c r="BB35" s="31"/>
      <c r="BC35" s="16"/>
      <c r="BD35" s="16"/>
      <c r="BE35" s="16"/>
      <c r="BF35" s="16"/>
      <c r="BG35" s="17"/>
      <c r="BR35" s="30" t="str">
        <f t="shared" si="78"/>
        <v>Conduction_lat[1][3]</v>
      </c>
      <c r="BS35" s="16"/>
      <c r="BT35" s="16"/>
      <c r="BU35" s="16"/>
      <c r="BV35" s="16"/>
      <c r="BW35" s="16"/>
      <c r="BX35" s="31" t="str">
        <f t="shared" si="79"/>
        <v>Conduction_lat[1][3]</v>
      </c>
      <c r="BY35" s="31"/>
      <c r="BZ35" s="32"/>
      <c r="CA35" s="33"/>
      <c r="CB35" s="27"/>
      <c r="CC35" s="16"/>
      <c r="CD35" s="31"/>
      <c r="CE35" s="16"/>
      <c r="CF35" s="16"/>
      <c r="CG35" s="16"/>
      <c r="CH35" s="16"/>
      <c r="CI35" s="17"/>
      <c r="CT35" s="30" t="str">
        <f t="shared" si="81"/>
        <v>Conduction_lat[1][4]</v>
      </c>
      <c r="CU35" s="16"/>
      <c r="CV35" s="16"/>
      <c r="CW35" s="16"/>
      <c r="CX35" s="16"/>
      <c r="CY35" s="16"/>
      <c r="CZ35" s="31" t="str">
        <f t="shared" si="82"/>
        <v>Conduction_lat[1][4]</v>
      </c>
      <c r="DA35" s="31"/>
      <c r="DB35" s="32"/>
      <c r="DC35" s="33"/>
      <c r="DD35" s="27"/>
      <c r="DE35" s="16"/>
      <c r="DF35" s="31"/>
      <c r="DG35" s="16"/>
      <c r="DH35" s="16"/>
      <c r="DI35" s="16"/>
      <c r="DJ35" s="16"/>
      <c r="DK35" s="17"/>
      <c r="DV35" s="30" t="str">
        <f t="shared" si="84"/>
        <v>Conduction_lat[1][5]</v>
      </c>
      <c r="DW35" s="16"/>
      <c r="DX35" s="16"/>
      <c r="DY35" s="16"/>
      <c r="DZ35" s="16"/>
      <c r="EA35" s="16"/>
      <c r="EB35" s="31" t="str">
        <f t="shared" si="85"/>
        <v>Conduction_lat[1][5]</v>
      </c>
      <c r="EC35" s="31"/>
      <c r="ED35" s="32"/>
      <c r="EE35" s="33"/>
      <c r="EF35" s="27"/>
      <c r="EG35" s="16"/>
      <c r="EH35" s="31"/>
      <c r="EI35" s="16"/>
      <c r="EJ35" s="16"/>
      <c r="EK35" s="16"/>
      <c r="EL35" s="16"/>
      <c r="EM35" s="17"/>
    </row>
    <row r="36" spans="6:143" ht="17.25" thickBot="1" x14ac:dyDescent="0.4">
      <c r="N36" s="37" t="s">
        <v>69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39" t="s">
        <v>69</v>
      </c>
      <c r="AP36" s="37" t="s">
        <v>69</v>
      </c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39" t="s">
        <v>69</v>
      </c>
      <c r="BR36" s="37" t="s">
        <v>69</v>
      </c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39" t="s">
        <v>69</v>
      </c>
      <c r="CT36" s="37" t="s">
        <v>69</v>
      </c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39" t="s">
        <v>69</v>
      </c>
      <c r="DV36" s="37" t="s">
        <v>69</v>
      </c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39" t="s">
        <v>69</v>
      </c>
    </row>
    <row r="38" spans="6:143" ht="17.25" thickBot="1" x14ac:dyDescent="0.4"/>
    <row r="39" spans="6:143" x14ac:dyDescent="0.35">
      <c r="F39" s="12" t="s">
        <v>81</v>
      </c>
      <c r="G39" s="13"/>
      <c r="H39" s="14"/>
      <c r="I39" s="14"/>
      <c r="J39" s="14"/>
      <c r="K39" s="38" t="s">
        <v>69</v>
      </c>
      <c r="AH39" s="12" t="s">
        <v>132</v>
      </c>
      <c r="AI39" s="13"/>
      <c r="AJ39" s="14"/>
      <c r="AK39" s="14"/>
      <c r="AL39" s="14"/>
      <c r="AM39" s="38" t="s">
        <v>69</v>
      </c>
      <c r="BJ39" s="12" t="s">
        <v>133</v>
      </c>
      <c r="BK39" s="13"/>
      <c r="BL39" s="14"/>
      <c r="BM39" s="14"/>
      <c r="BN39" s="14"/>
      <c r="BO39" s="38" t="s">
        <v>69</v>
      </c>
      <c r="CL39" s="12" t="s">
        <v>134</v>
      </c>
      <c r="CM39" s="13"/>
      <c r="CN39" s="14"/>
      <c r="CO39" s="14"/>
      <c r="CP39" s="14"/>
      <c r="CQ39" s="38" t="s">
        <v>69</v>
      </c>
      <c r="DN39" s="12" t="s">
        <v>135</v>
      </c>
      <c r="DO39" s="13"/>
      <c r="DP39" s="14"/>
      <c r="DQ39" s="14"/>
      <c r="DR39" s="14"/>
      <c r="DS39" s="38" t="s">
        <v>69</v>
      </c>
    </row>
    <row r="40" spans="6:143" x14ac:dyDescent="0.35">
      <c r="F40" s="30" t="str">
        <f>F39</f>
        <v>Conduction_longi[2][1]</v>
      </c>
      <c r="G40" s="31" t="str">
        <f>F40&amp;"."&amp;I40</f>
        <v>Conduction_longi[2][1].Q1in[W]</v>
      </c>
      <c r="H40" s="15" t="s">
        <v>89</v>
      </c>
      <c r="I40" s="15" t="s">
        <v>62</v>
      </c>
      <c r="J40" s="29">
        <f>J48</f>
        <v>49988.816397382529</v>
      </c>
      <c r="K40" s="17"/>
      <c r="AH40" s="30" t="str">
        <f>AH39</f>
        <v>Conduction_longi[2][2]</v>
      </c>
      <c r="AI40" s="31" t="str">
        <f>AH40&amp;"."&amp;AK40</f>
        <v>Conduction_longi[2][2].Q1in[W]</v>
      </c>
      <c r="AJ40" s="15" t="s">
        <v>89</v>
      </c>
      <c r="AK40" s="15" t="s">
        <v>62</v>
      </c>
      <c r="AL40" s="29">
        <f>AL48</f>
        <v>46633.735612142525</v>
      </c>
      <c r="AM40" s="17"/>
      <c r="BJ40" s="30" t="str">
        <f>BJ39</f>
        <v>Conduction_longi[2][3]</v>
      </c>
      <c r="BK40" s="31" t="str">
        <f>BJ40&amp;"."&amp;BM40</f>
        <v>Conduction_longi[2][3].Q1in[W]</v>
      </c>
      <c r="BL40" s="15" t="s">
        <v>89</v>
      </c>
      <c r="BM40" s="15" t="s">
        <v>62</v>
      </c>
      <c r="BN40" s="29">
        <f>BN48</f>
        <v>33399.338469664675</v>
      </c>
      <c r="BO40" s="17"/>
      <c r="CL40" s="30" t="str">
        <f>CL39</f>
        <v>Conduction_longi[2][4]</v>
      </c>
      <c r="CM40" s="31" t="str">
        <f>CL40&amp;"."&amp;CO40</f>
        <v>Conduction_longi[2][4].Q1in[W]</v>
      </c>
      <c r="CN40" s="15" t="s">
        <v>89</v>
      </c>
      <c r="CO40" s="15" t="s">
        <v>62</v>
      </c>
      <c r="CP40" s="29">
        <f>CP48</f>
        <v>39966.482226591223</v>
      </c>
      <c r="CQ40" s="17"/>
      <c r="DN40" s="30" t="str">
        <f>DN39</f>
        <v>Conduction_longi[2][5]</v>
      </c>
      <c r="DO40" s="31" t="str">
        <f>DN40&amp;"."&amp;DQ40</f>
        <v>Conduction_longi[2][5].Q1in[W]</v>
      </c>
      <c r="DP40" s="15" t="s">
        <v>89</v>
      </c>
      <c r="DQ40" s="15" t="s">
        <v>62</v>
      </c>
      <c r="DR40" s="29">
        <f>DR48</f>
        <v>36478.293960885683</v>
      </c>
      <c r="DS40" s="17"/>
    </row>
    <row r="41" spans="6:143" x14ac:dyDescent="0.35">
      <c r="F41" s="30" t="str">
        <f t="shared" ref="F41:F53" si="96">F40</f>
        <v>Conduction_longi[2][1]</v>
      </c>
      <c r="G41" s="31" t="str">
        <f>F41&amp;"."&amp;I41</f>
        <v>Conduction_longi[2][1].T1[K]</v>
      </c>
      <c r="H41" s="15" t="s">
        <v>87</v>
      </c>
      <c r="I41" s="15" t="s">
        <v>58</v>
      </c>
      <c r="J41" s="44">
        <f>J28</f>
        <v>1299.4632633383717</v>
      </c>
      <c r="K41" s="17"/>
      <c r="AH41" s="30" t="str">
        <f t="shared" ref="AH41:AH53" si="97">AH40</f>
        <v>Conduction_longi[2][2]</v>
      </c>
      <c r="AI41" s="31" t="str">
        <f>AH41&amp;"."&amp;AK41</f>
        <v>Conduction_longi[2][2].T1[K]</v>
      </c>
      <c r="AJ41" s="15" t="s">
        <v>87</v>
      </c>
      <c r="AK41" s="15" t="s">
        <v>58</v>
      </c>
      <c r="AL41" s="44">
        <f>AL28</f>
        <v>1234.6059945580828</v>
      </c>
      <c r="AM41" s="17"/>
      <c r="BJ41" s="30" t="str">
        <f t="shared" ref="BJ41:BJ53" si="98">BJ40</f>
        <v>Conduction_longi[2][3]</v>
      </c>
      <c r="BK41" s="31" t="str">
        <f>BJ41&amp;"."&amp;BM41</f>
        <v>Conduction_longi[2][3].T1[K]</v>
      </c>
      <c r="BL41" s="15" t="s">
        <v>87</v>
      </c>
      <c r="BM41" s="15" t="s">
        <v>58</v>
      </c>
      <c r="BN41" s="44">
        <f>BN28</f>
        <v>1264.0837937286185</v>
      </c>
      <c r="BO41" s="17"/>
      <c r="CL41" s="30" t="str">
        <f t="shared" ref="CL41:CL53" si="99">CL40</f>
        <v>Conduction_longi[2][4]</v>
      </c>
      <c r="CM41" s="31" t="str">
        <f>CL41&amp;"."&amp;CO41</f>
        <v>Conduction_longi[2][4].T1[K]</v>
      </c>
      <c r="CN41" s="15" t="s">
        <v>87</v>
      </c>
      <c r="CO41" s="15" t="s">
        <v>58</v>
      </c>
      <c r="CP41" s="44">
        <f>CP28</f>
        <v>1101.279435425686</v>
      </c>
      <c r="CQ41" s="17"/>
      <c r="DN41" s="30" t="str">
        <f t="shared" ref="DN41:DN53" si="100">DN40</f>
        <v>Conduction_longi[2][5]</v>
      </c>
      <c r="DO41" s="31" t="str">
        <f>DN41&amp;"."&amp;DQ41</f>
        <v>Conduction_longi[2][5].T1[K]</v>
      </c>
      <c r="DP41" s="15" t="s">
        <v>87</v>
      </c>
      <c r="DQ41" s="15" t="s">
        <v>58</v>
      </c>
      <c r="DR41" s="44">
        <f>DR28</f>
        <v>1032.9008462825743</v>
      </c>
      <c r="DS41" s="17"/>
    </row>
    <row r="42" spans="6:143" x14ac:dyDescent="0.35">
      <c r="F42" s="30" t="str">
        <f t="shared" si="96"/>
        <v>Conduction_longi[2][1]</v>
      </c>
      <c r="G42" s="31"/>
      <c r="H42" s="16"/>
      <c r="I42" s="16"/>
      <c r="J42" s="16"/>
      <c r="K42" s="17"/>
      <c r="AH42" s="30" t="str">
        <f t="shared" si="97"/>
        <v>Conduction_longi[2][2]</v>
      </c>
      <c r="AI42" s="31"/>
      <c r="AJ42" s="16"/>
      <c r="AK42" s="16"/>
      <c r="AL42" s="16"/>
      <c r="AM42" s="17"/>
      <c r="BJ42" s="30" t="str">
        <f t="shared" si="98"/>
        <v>Conduction_longi[2][3]</v>
      </c>
      <c r="BK42" s="31"/>
      <c r="BL42" s="16"/>
      <c r="BM42" s="16"/>
      <c r="BN42" s="16"/>
      <c r="BO42" s="17"/>
      <c r="CL42" s="30" t="str">
        <f t="shared" si="99"/>
        <v>Conduction_longi[2][4]</v>
      </c>
      <c r="CM42" s="31"/>
      <c r="CN42" s="16"/>
      <c r="CO42" s="16"/>
      <c r="CP42" s="16"/>
      <c r="CQ42" s="17"/>
      <c r="DN42" s="30" t="str">
        <f t="shared" si="100"/>
        <v>Conduction_longi[2][5]</v>
      </c>
      <c r="DO42" s="31"/>
      <c r="DP42" s="16"/>
      <c r="DQ42" s="16"/>
      <c r="DR42" s="16"/>
      <c r="DS42" s="17"/>
    </row>
    <row r="43" spans="6:143" x14ac:dyDescent="0.35">
      <c r="F43" s="30" t="str">
        <f t="shared" si="96"/>
        <v>Conduction_longi[2][1]</v>
      </c>
      <c r="G43" s="31"/>
      <c r="H43" s="19"/>
      <c r="I43" s="20"/>
      <c r="J43" s="21"/>
      <c r="K43" s="17"/>
      <c r="AH43" s="30" t="str">
        <f t="shared" si="97"/>
        <v>Conduction_longi[2][2]</v>
      </c>
      <c r="AI43" s="31"/>
      <c r="AJ43" s="19"/>
      <c r="AK43" s="20"/>
      <c r="AL43" s="21"/>
      <c r="AM43" s="17"/>
      <c r="BJ43" s="30" t="str">
        <f t="shared" si="98"/>
        <v>Conduction_longi[2][3]</v>
      </c>
      <c r="BK43" s="31"/>
      <c r="BL43" s="19"/>
      <c r="BM43" s="20"/>
      <c r="BN43" s="21"/>
      <c r="BO43" s="17"/>
      <c r="CL43" s="30" t="str">
        <f t="shared" si="99"/>
        <v>Conduction_longi[2][4]</v>
      </c>
      <c r="CM43" s="31"/>
      <c r="CN43" s="19"/>
      <c r="CO43" s="20"/>
      <c r="CP43" s="21"/>
      <c r="CQ43" s="17"/>
      <c r="DN43" s="30" t="str">
        <f t="shared" si="100"/>
        <v>Conduction_longi[2][5]</v>
      </c>
      <c r="DO43" s="31"/>
      <c r="DP43" s="19"/>
      <c r="DQ43" s="20"/>
      <c r="DR43" s="21"/>
      <c r="DS43" s="17"/>
    </row>
    <row r="44" spans="6:143" x14ac:dyDescent="0.35">
      <c r="F44" s="30" t="str">
        <f t="shared" si="96"/>
        <v>Conduction_longi[2][1]</v>
      </c>
      <c r="G44" s="31" t="str">
        <f>F44&amp;"."&amp;I44</f>
        <v>Conduction_longi[2][1].A[m2]</v>
      </c>
      <c r="H44" s="22" t="s">
        <v>87</v>
      </c>
      <c r="I44" s="15" t="s">
        <v>51</v>
      </c>
      <c r="J44" s="41">
        <v>0.1</v>
      </c>
      <c r="K44" s="17"/>
      <c r="AH44" s="30" t="str">
        <f t="shared" si="97"/>
        <v>Conduction_longi[2][2]</v>
      </c>
      <c r="AI44" s="31" t="str">
        <f>AH44&amp;"."&amp;AK44</f>
        <v>Conduction_longi[2][2].A[m2]</v>
      </c>
      <c r="AJ44" s="22" t="s">
        <v>87</v>
      </c>
      <c r="AK44" s="15" t="s">
        <v>51</v>
      </c>
      <c r="AL44" s="41">
        <v>0.1</v>
      </c>
      <c r="AM44" s="17"/>
      <c r="BJ44" s="30" t="str">
        <f t="shared" si="98"/>
        <v>Conduction_longi[2][3]</v>
      </c>
      <c r="BK44" s="31" t="str">
        <f>BJ44&amp;"."&amp;BM44</f>
        <v>Conduction_longi[2][3].A[m2]</v>
      </c>
      <c r="BL44" s="22" t="s">
        <v>87</v>
      </c>
      <c r="BM44" s="15" t="s">
        <v>51</v>
      </c>
      <c r="BN44" s="41">
        <v>0.1</v>
      </c>
      <c r="BO44" s="17"/>
      <c r="CL44" s="30" t="str">
        <f t="shared" si="99"/>
        <v>Conduction_longi[2][4]</v>
      </c>
      <c r="CM44" s="31" t="str">
        <f>CL44&amp;"."&amp;CO44</f>
        <v>Conduction_longi[2][4].A[m2]</v>
      </c>
      <c r="CN44" s="22" t="s">
        <v>87</v>
      </c>
      <c r="CO44" s="15" t="s">
        <v>51</v>
      </c>
      <c r="CP44" s="41">
        <v>0.1</v>
      </c>
      <c r="CQ44" s="17"/>
      <c r="DN44" s="30" t="str">
        <f t="shared" si="100"/>
        <v>Conduction_longi[2][5]</v>
      </c>
      <c r="DO44" s="31" t="str">
        <f>DN44&amp;"."&amp;DQ44</f>
        <v>Conduction_longi[2][5].A[m2]</v>
      </c>
      <c r="DP44" s="22" t="s">
        <v>87</v>
      </c>
      <c r="DQ44" s="15" t="s">
        <v>51</v>
      </c>
      <c r="DR44" s="41">
        <v>0.1</v>
      </c>
      <c r="DS44" s="17"/>
    </row>
    <row r="45" spans="6:143" x14ac:dyDescent="0.35">
      <c r="F45" s="30" t="str">
        <f t="shared" si="96"/>
        <v>Conduction_longi[2][1]</v>
      </c>
      <c r="G45" s="31" t="str">
        <f>F45&amp;"."&amp;I45</f>
        <v>Conduction_longi[2][1].th[m]</v>
      </c>
      <c r="H45" s="22" t="s">
        <v>87</v>
      </c>
      <c r="I45" s="15" t="s">
        <v>53</v>
      </c>
      <c r="J45" s="41">
        <v>0.01</v>
      </c>
      <c r="K45" s="17"/>
      <c r="AH45" s="30" t="str">
        <f t="shared" si="97"/>
        <v>Conduction_longi[2][2]</v>
      </c>
      <c r="AI45" s="31" t="str">
        <f>AH45&amp;"."&amp;AK45</f>
        <v>Conduction_longi[2][2].th[m]</v>
      </c>
      <c r="AJ45" s="22" t="s">
        <v>87</v>
      </c>
      <c r="AK45" s="15" t="s">
        <v>53</v>
      </c>
      <c r="AL45" s="41">
        <v>0.01</v>
      </c>
      <c r="AM45" s="17"/>
      <c r="BJ45" s="30" t="str">
        <f t="shared" si="98"/>
        <v>Conduction_longi[2][3]</v>
      </c>
      <c r="BK45" s="31" t="str">
        <f>BJ45&amp;"."&amp;BM45</f>
        <v>Conduction_longi[2][3].th[m]</v>
      </c>
      <c r="BL45" s="22" t="s">
        <v>87</v>
      </c>
      <c r="BM45" s="15" t="s">
        <v>53</v>
      </c>
      <c r="BN45" s="41">
        <v>0.01</v>
      </c>
      <c r="BO45" s="17"/>
      <c r="CL45" s="30" t="str">
        <f t="shared" si="99"/>
        <v>Conduction_longi[2][4]</v>
      </c>
      <c r="CM45" s="31" t="str">
        <f>CL45&amp;"."&amp;CO45</f>
        <v>Conduction_longi[2][4].th[m]</v>
      </c>
      <c r="CN45" s="22" t="s">
        <v>87</v>
      </c>
      <c r="CO45" s="15" t="s">
        <v>53</v>
      </c>
      <c r="CP45" s="41">
        <v>0.01</v>
      </c>
      <c r="CQ45" s="17"/>
      <c r="DN45" s="30" t="str">
        <f t="shared" si="100"/>
        <v>Conduction_longi[2][5]</v>
      </c>
      <c r="DO45" s="31" t="str">
        <f>DN45&amp;"."&amp;DQ45</f>
        <v>Conduction_longi[2][5].th[m]</v>
      </c>
      <c r="DP45" s="22" t="s">
        <v>87</v>
      </c>
      <c r="DQ45" s="15" t="s">
        <v>53</v>
      </c>
      <c r="DR45" s="41">
        <v>0.01</v>
      </c>
      <c r="DS45" s="17"/>
    </row>
    <row r="46" spans="6:143" x14ac:dyDescent="0.35">
      <c r="F46" s="30" t="str">
        <f t="shared" si="96"/>
        <v>Conduction_longi[2][1]</v>
      </c>
      <c r="G46" s="31" t="str">
        <f>F46&amp;"."&amp;I46</f>
        <v>Conduction_longi[2][1].rambda[W/(m*K)]</v>
      </c>
      <c r="H46" s="22" t="s">
        <v>87</v>
      </c>
      <c r="I46" s="15" t="s">
        <v>55</v>
      </c>
      <c r="J46" s="41">
        <v>10</v>
      </c>
      <c r="K46" s="17"/>
      <c r="AH46" s="30" t="str">
        <f t="shared" si="97"/>
        <v>Conduction_longi[2][2]</v>
      </c>
      <c r="AI46" s="31" t="str">
        <f>AH46&amp;"."&amp;AK46</f>
        <v>Conduction_longi[2][2].rambda[W/(m*K)]</v>
      </c>
      <c r="AJ46" s="22" t="s">
        <v>87</v>
      </c>
      <c r="AK46" s="15" t="s">
        <v>55</v>
      </c>
      <c r="AL46" s="41">
        <v>10</v>
      </c>
      <c r="AM46" s="17"/>
      <c r="BJ46" s="30" t="str">
        <f t="shared" si="98"/>
        <v>Conduction_longi[2][3]</v>
      </c>
      <c r="BK46" s="31" t="str">
        <f>BJ46&amp;"."&amp;BM46</f>
        <v>Conduction_longi[2][3].rambda[W/(m*K)]</v>
      </c>
      <c r="BL46" s="22" t="s">
        <v>87</v>
      </c>
      <c r="BM46" s="15" t="s">
        <v>55</v>
      </c>
      <c r="BN46" s="41">
        <v>10</v>
      </c>
      <c r="BO46" s="17"/>
      <c r="CL46" s="30" t="str">
        <f t="shared" si="99"/>
        <v>Conduction_longi[2][4]</v>
      </c>
      <c r="CM46" s="31" t="str">
        <f>CL46&amp;"."&amp;CO46</f>
        <v>Conduction_longi[2][4].rambda[W/(m*K)]</v>
      </c>
      <c r="CN46" s="22" t="s">
        <v>87</v>
      </c>
      <c r="CO46" s="15" t="s">
        <v>55</v>
      </c>
      <c r="CP46" s="41">
        <v>10</v>
      </c>
      <c r="CQ46" s="17"/>
      <c r="DN46" s="30" t="str">
        <f t="shared" si="100"/>
        <v>Conduction_longi[2][5]</v>
      </c>
      <c r="DO46" s="31" t="str">
        <f>DN46&amp;"."&amp;DQ46</f>
        <v>Conduction_longi[2][5].rambda[W/(m*K)]</v>
      </c>
      <c r="DP46" s="22" t="s">
        <v>87</v>
      </c>
      <c r="DQ46" s="15" t="s">
        <v>55</v>
      </c>
      <c r="DR46" s="41">
        <v>10</v>
      </c>
      <c r="DS46" s="17"/>
    </row>
    <row r="47" spans="6:143" x14ac:dyDescent="0.35">
      <c r="F47" s="30" t="str">
        <f t="shared" si="96"/>
        <v>Conduction_longi[2][1]</v>
      </c>
      <c r="G47" s="31"/>
      <c r="H47" s="24"/>
      <c r="I47" s="16"/>
      <c r="J47" s="23"/>
      <c r="K47" s="17"/>
      <c r="AH47" s="30" t="str">
        <f t="shared" si="97"/>
        <v>Conduction_longi[2][2]</v>
      </c>
      <c r="AI47" s="31"/>
      <c r="AJ47" s="24"/>
      <c r="AK47" s="16"/>
      <c r="AL47" s="23"/>
      <c r="AM47" s="17"/>
      <c r="BJ47" s="30" t="str">
        <f t="shared" si="98"/>
        <v>Conduction_longi[2][3]</v>
      </c>
      <c r="BK47" s="31"/>
      <c r="BL47" s="24"/>
      <c r="BM47" s="16"/>
      <c r="BN47" s="23"/>
      <c r="BO47" s="17"/>
      <c r="CL47" s="30" t="str">
        <f t="shared" si="99"/>
        <v>Conduction_longi[2][4]</v>
      </c>
      <c r="CM47" s="31"/>
      <c r="CN47" s="24"/>
      <c r="CO47" s="16"/>
      <c r="CP47" s="23"/>
      <c r="CQ47" s="17"/>
      <c r="DN47" s="30" t="str">
        <f t="shared" si="100"/>
        <v>Conduction_longi[2][5]</v>
      </c>
      <c r="DO47" s="31"/>
      <c r="DP47" s="24"/>
      <c r="DQ47" s="16"/>
      <c r="DR47" s="23"/>
      <c r="DS47" s="17"/>
    </row>
    <row r="48" spans="6:143" x14ac:dyDescent="0.35">
      <c r="F48" s="30" t="str">
        <f t="shared" si="96"/>
        <v>Conduction_longi[2][1]</v>
      </c>
      <c r="G48" s="31"/>
      <c r="H48" s="22" t="s">
        <v>89</v>
      </c>
      <c r="I48" s="15" t="s">
        <v>57</v>
      </c>
      <c r="J48" s="23">
        <f>J46*J44/J45*(J41-J52)</f>
        <v>49988.816397382529</v>
      </c>
      <c r="K48" s="17"/>
      <c r="AH48" s="30" t="str">
        <f t="shared" si="97"/>
        <v>Conduction_longi[2][2]</v>
      </c>
      <c r="AI48" s="31"/>
      <c r="AJ48" s="22" t="s">
        <v>89</v>
      </c>
      <c r="AK48" s="15" t="s">
        <v>57</v>
      </c>
      <c r="AL48" s="23">
        <f>AL46*AL44/AL45*(AL41-AL52)</f>
        <v>46633.735612142525</v>
      </c>
      <c r="AM48" s="17"/>
      <c r="BJ48" s="30" t="str">
        <f t="shared" si="98"/>
        <v>Conduction_longi[2][3]</v>
      </c>
      <c r="BK48" s="31"/>
      <c r="BL48" s="22" t="s">
        <v>89</v>
      </c>
      <c r="BM48" s="15" t="s">
        <v>57</v>
      </c>
      <c r="BN48" s="23">
        <f>BN46*BN44/BN45*(BN41-BN52)</f>
        <v>33399.338469664675</v>
      </c>
      <c r="BO48" s="17"/>
      <c r="CL48" s="30" t="str">
        <f t="shared" si="99"/>
        <v>Conduction_longi[2][4]</v>
      </c>
      <c r="CM48" s="31"/>
      <c r="CN48" s="22" t="s">
        <v>89</v>
      </c>
      <c r="CO48" s="15" t="s">
        <v>57</v>
      </c>
      <c r="CP48" s="23">
        <f>CP46*CP44/CP45*(CP41-CP52)</f>
        <v>39966.482226591223</v>
      </c>
      <c r="CQ48" s="17"/>
      <c r="DN48" s="30" t="str">
        <f t="shared" si="100"/>
        <v>Conduction_longi[2][5]</v>
      </c>
      <c r="DO48" s="31"/>
      <c r="DP48" s="22" t="s">
        <v>89</v>
      </c>
      <c r="DQ48" s="15" t="s">
        <v>57</v>
      </c>
      <c r="DR48" s="23">
        <f>DR46*DR44/DR45*(DR41-DR52)</f>
        <v>36478.293960885683</v>
      </c>
      <c r="DS48" s="17"/>
    </row>
    <row r="49" spans="6:159" x14ac:dyDescent="0.35">
      <c r="F49" s="30" t="str">
        <f t="shared" si="96"/>
        <v>Conduction_longi[2][1]</v>
      </c>
      <c r="G49" s="31"/>
      <c r="H49" s="22" t="s">
        <v>89</v>
      </c>
      <c r="I49" s="15" t="s">
        <v>60</v>
      </c>
      <c r="J49" s="23">
        <f>-1*J48</f>
        <v>-49988.816397382529</v>
      </c>
      <c r="K49" s="17"/>
      <c r="AH49" s="30" t="str">
        <f t="shared" si="97"/>
        <v>Conduction_longi[2][2]</v>
      </c>
      <c r="AI49" s="31"/>
      <c r="AJ49" s="22" t="s">
        <v>89</v>
      </c>
      <c r="AK49" s="15" t="s">
        <v>60</v>
      </c>
      <c r="AL49" s="23">
        <f>-1*AL48</f>
        <v>-46633.735612142525</v>
      </c>
      <c r="AM49" s="17"/>
      <c r="BJ49" s="30" t="str">
        <f t="shared" si="98"/>
        <v>Conduction_longi[2][3]</v>
      </c>
      <c r="BK49" s="31"/>
      <c r="BL49" s="22" t="s">
        <v>89</v>
      </c>
      <c r="BM49" s="15" t="s">
        <v>60</v>
      </c>
      <c r="BN49" s="23">
        <f>-1*BN48</f>
        <v>-33399.338469664675</v>
      </c>
      <c r="BO49" s="17"/>
      <c r="CL49" s="30" t="str">
        <f t="shared" si="99"/>
        <v>Conduction_longi[2][4]</v>
      </c>
      <c r="CM49" s="31"/>
      <c r="CN49" s="22" t="s">
        <v>89</v>
      </c>
      <c r="CO49" s="15" t="s">
        <v>60</v>
      </c>
      <c r="CP49" s="23">
        <f>-1*CP48</f>
        <v>-39966.482226591223</v>
      </c>
      <c r="CQ49" s="17"/>
      <c r="DN49" s="30" t="str">
        <f t="shared" si="100"/>
        <v>Conduction_longi[2][5]</v>
      </c>
      <c r="DO49" s="31"/>
      <c r="DP49" s="22" t="s">
        <v>89</v>
      </c>
      <c r="DQ49" s="15" t="s">
        <v>60</v>
      </c>
      <c r="DR49" s="23">
        <f>-1*DR48</f>
        <v>-36478.293960885683</v>
      </c>
      <c r="DS49" s="17"/>
    </row>
    <row r="50" spans="6:159" x14ac:dyDescent="0.35">
      <c r="F50" s="30" t="str">
        <f t="shared" si="96"/>
        <v>Conduction_longi[2][1]</v>
      </c>
      <c r="G50" s="31"/>
      <c r="H50" s="25"/>
      <c r="I50" s="26"/>
      <c r="J50" s="27"/>
      <c r="K50" s="17"/>
      <c r="AH50" s="30" t="str">
        <f t="shared" si="97"/>
        <v>Conduction_longi[2][2]</v>
      </c>
      <c r="AI50" s="31"/>
      <c r="AJ50" s="25"/>
      <c r="AK50" s="26"/>
      <c r="AL50" s="27"/>
      <c r="AM50" s="17"/>
      <c r="BJ50" s="30" t="str">
        <f t="shared" si="98"/>
        <v>Conduction_longi[2][3]</v>
      </c>
      <c r="BK50" s="31"/>
      <c r="BL50" s="25"/>
      <c r="BM50" s="26"/>
      <c r="BN50" s="27"/>
      <c r="BO50" s="17"/>
      <c r="CL50" s="30" t="str">
        <f t="shared" si="99"/>
        <v>Conduction_longi[2][4]</v>
      </c>
      <c r="CM50" s="31"/>
      <c r="CN50" s="25"/>
      <c r="CO50" s="26"/>
      <c r="CP50" s="27"/>
      <c r="CQ50" s="17"/>
      <c r="DN50" s="30" t="str">
        <f t="shared" si="100"/>
        <v>Conduction_longi[2][5]</v>
      </c>
      <c r="DO50" s="31"/>
      <c r="DP50" s="25"/>
      <c r="DQ50" s="26"/>
      <c r="DR50" s="27"/>
      <c r="DS50" s="17"/>
    </row>
    <row r="51" spans="6:159" x14ac:dyDescent="0.35">
      <c r="F51" s="30" t="str">
        <f t="shared" si="96"/>
        <v>Conduction_longi[2][1]</v>
      </c>
      <c r="G51" s="31"/>
      <c r="H51" s="16"/>
      <c r="I51" s="16"/>
      <c r="J51" s="16"/>
      <c r="K51" s="17"/>
      <c r="AH51" s="30" t="str">
        <f t="shared" si="97"/>
        <v>Conduction_longi[2][2]</v>
      </c>
      <c r="AI51" s="31"/>
      <c r="AJ51" s="16"/>
      <c r="AK51" s="16"/>
      <c r="AL51" s="16"/>
      <c r="AM51" s="17"/>
      <c r="BJ51" s="30" t="str">
        <f t="shared" si="98"/>
        <v>Conduction_longi[2][3]</v>
      </c>
      <c r="BK51" s="31"/>
      <c r="BL51" s="16"/>
      <c r="BM51" s="16"/>
      <c r="BN51" s="16"/>
      <c r="BO51" s="17"/>
      <c r="CL51" s="30" t="str">
        <f t="shared" si="99"/>
        <v>Conduction_longi[2][4]</v>
      </c>
      <c r="CM51" s="31"/>
      <c r="CN51" s="16"/>
      <c r="CO51" s="16"/>
      <c r="CP51" s="16"/>
      <c r="CQ51" s="17"/>
      <c r="DN51" s="30" t="str">
        <f t="shared" si="100"/>
        <v>Conduction_longi[2][5]</v>
      </c>
      <c r="DO51" s="31"/>
      <c r="DP51" s="16"/>
      <c r="DQ51" s="16"/>
      <c r="DR51" s="16"/>
      <c r="DS51" s="17"/>
    </row>
    <row r="52" spans="6:159" x14ac:dyDescent="0.35">
      <c r="F52" s="30" t="str">
        <f t="shared" si="96"/>
        <v>Conduction_longi[2][1]</v>
      </c>
      <c r="G52" s="31" t="str">
        <f>F52&amp;"."&amp;I52</f>
        <v>Conduction_longi[2][1].T2[K]</v>
      </c>
      <c r="H52" s="15" t="s">
        <v>87</v>
      </c>
      <c r="I52" s="15" t="s">
        <v>59</v>
      </c>
      <c r="J52" s="28">
        <f>J59</f>
        <v>799.57509936454642</v>
      </c>
      <c r="K52" s="17"/>
      <c r="AH52" s="30" t="str">
        <f t="shared" si="97"/>
        <v>Conduction_longi[2][2]</v>
      </c>
      <c r="AI52" s="31" t="str">
        <f>AH52&amp;"."&amp;AK52</f>
        <v>Conduction_longi[2][2].T2[K]</v>
      </c>
      <c r="AJ52" s="15" t="s">
        <v>87</v>
      </c>
      <c r="AK52" s="15" t="s">
        <v>59</v>
      </c>
      <c r="AL52" s="28">
        <f>AL59</f>
        <v>768.26863843665751</v>
      </c>
      <c r="AM52" s="17"/>
      <c r="BJ52" s="30" t="str">
        <f t="shared" si="98"/>
        <v>Conduction_longi[2][3]</v>
      </c>
      <c r="BK52" s="31" t="str">
        <f>BJ52&amp;"."&amp;BM52</f>
        <v>Conduction_longi[2][3].T2[K]</v>
      </c>
      <c r="BL52" s="15" t="s">
        <v>87</v>
      </c>
      <c r="BM52" s="15" t="s">
        <v>59</v>
      </c>
      <c r="BN52" s="28">
        <f>BN59</f>
        <v>930.09040903197172</v>
      </c>
      <c r="BO52" s="17"/>
      <c r="CL52" s="30" t="str">
        <f t="shared" si="99"/>
        <v>Conduction_longi[2][4]</v>
      </c>
      <c r="CM52" s="31" t="str">
        <f>CL52&amp;"."&amp;CO52</f>
        <v>Conduction_longi[2][4].T2[K]</v>
      </c>
      <c r="CN52" s="15" t="s">
        <v>87</v>
      </c>
      <c r="CO52" s="15" t="s">
        <v>59</v>
      </c>
      <c r="CP52" s="28">
        <f>CP59</f>
        <v>701.61461315977374</v>
      </c>
      <c r="CQ52" s="17"/>
      <c r="DN52" s="30" t="str">
        <f t="shared" si="100"/>
        <v>Conduction_longi[2][5]</v>
      </c>
      <c r="DO52" s="31" t="str">
        <f>DN52&amp;"."&amp;DQ52</f>
        <v>Conduction_longi[2][5].T2[K]</v>
      </c>
      <c r="DP52" s="15" t="s">
        <v>87</v>
      </c>
      <c r="DQ52" s="15" t="s">
        <v>59</v>
      </c>
      <c r="DR52" s="28">
        <f>DR59</f>
        <v>668.11790667371747</v>
      </c>
      <c r="DS52" s="17"/>
    </row>
    <row r="53" spans="6:159" x14ac:dyDescent="0.35">
      <c r="F53" s="30" t="str">
        <f t="shared" si="96"/>
        <v>Conduction_longi[2][1]</v>
      </c>
      <c r="G53" s="31" t="str">
        <f>F53&amp;"."&amp;I53</f>
        <v>Conduction_longi[2][1].Q2in[W]</v>
      </c>
      <c r="H53" s="15" t="s">
        <v>89</v>
      </c>
      <c r="I53" s="15" t="s">
        <v>61</v>
      </c>
      <c r="J53" s="16">
        <f>J49</f>
        <v>-49988.816397382529</v>
      </c>
      <c r="K53" s="17"/>
      <c r="AH53" s="30" t="str">
        <f t="shared" si="97"/>
        <v>Conduction_longi[2][2]</v>
      </c>
      <c r="AI53" s="31" t="str">
        <f>AH53&amp;"."&amp;AK53</f>
        <v>Conduction_longi[2][2].Q2in[W]</v>
      </c>
      <c r="AJ53" s="15" t="s">
        <v>89</v>
      </c>
      <c r="AK53" s="15" t="s">
        <v>61</v>
      </c>
      <c r="AL53" s="16">
        <f>AL49</f>
        <v>-46633.735612142525</v>
      </c>
      <c r="AM53" s="17"/>
      <c r="BJ53" s="30" t="str">
        <f t="shared" si="98"/>
        <v>Conduction_longi[2][3]</v>
      </c>
      <c r="BK53" s="31" t="str">
        <f>BJ53&amp;"."&amp;BM53</f>
        <v>Conduction_longi[2][3].Q2in[W]</v>
      </c>
      <c r="BL53" s="15" t="s">
        <v>89</v>
      </c>
      <c r="BM53" s="15" t="s">
        <v>61</v>
      </c>
      <c r="BN53" s="16">
        <f>BN49</f>
        <v>-33399.338469664675</v>
      </c>
      <c r="BO53" s="17"/>
      <c r="CL53" s="30" t="str">
        <f t="shared" si="99"/>
        <v>Conduction_longi[2][4]</v>
      </c>
      <c r="CM53" s="31" t="str">
        <f>CL53&amp;"."&amp;CO53</f>
        <v>Conduction_longi[2][4].Q2in[W]</v>
      </c>
      <c r="CN53" s="15" t="s">
        <v>89</v>
      </c>
      <c r="CO53" s="15" t="s">
        <v>61</v>
      </c>
      <c r="CP53" s="16">
        <f>CP49</f>
        <v>-39966.482226591223</v>
      </c>
      <c r="CQ53" s="17"/>
      <c r="DN53" s="30" t="str">
        <f t="shared" si="100"/>
        <v>Conduction_longi[2][5]</v>
      </c>
      <c r="DO53" s="31" t="str">
        <f>DN53&amp;"."&amp;DQ53</f>
        <v>Conduction_longi[2][5].Q2in[W]</v>
      </c>
      <c r="DP53" s="15" t="s">
        <v>89</v>
      </c>
      <c r="DQ53" s="15" t="s">
        <v>61</v>
      </c>
      <c r="DR53" s="16">
        <f>DR49</f>
        <v>-36478.293960885683</v>
      </c>
      <c r="DS53" s="17"/>
    </row>
    <row r="54" spans="6:159" ht="17.25" thickBot="1" x14ac:dyDescent="0.4">
      <c r="F54" s="37" t="s">
        <v>69</v>
      </c>
      <c r="G54" s="18"/>
      <c r="H54" s="18"/>
      <c r="I54" s="18"/>
      <c r="J54" s="18"/>
      <c r="K54" s="39" t="s">
        <v>69</v>
      </c>
      <c r="AH54" s="37" t="s">
        <v>69</v>
      </c>
      <c r="AI54" s="18"/>
      <c r="AJ54" s="18"/>
      <c r="AK54" s="18"/>
      <c r="AL54" s="18"/>
      <c r="AM54" s="39" t="s">
        <v>69</v>
      </c>
      <c r="BJ54" s="37" t="s">
        <v>69</v>
      </c>
      <c r="BK54" s="18"/>
      <c r="BL54" s="18"/>
      <c r="BM54" s="18"/>
      <c r="BN54" s="18"/>
      <c r="BO54" s="39" t="s">
        <v>69</v>
      </c>
      <c r="CL54" s="37" t="s">
        <v>69</v>
      </c>
      <c r="CM54" s="18"/>
      <c r="CN54" s="18"/>
      <c r="CO54" s="18"/>
      <c r="CP54" s="18"/>
      <c r="CQ54" s="39" t="s">
        <v>69</v>
      </c>
      <c r="DN54" s="37" t="s">
        <v>69</v>
      </c>
      <c r="DO54" s="18"/>
      <c r="DP54" s="18"/>
      <c r="DQ54" s="18"/>
      <c r="DR54" s="18"/>
      <c r="DS54" s="39" t="s">
        <v>69</v>
      </c>
    </row>
    <row r="56" spans="6:159" ht="17.25" thickBot="1" x14ac:dyDescent="0.4"/>
    <row r="57" spans="6:159" x14ac:dyDescent="0.35">
      <c r="F57" s="12" t="s">
        <v>85</v>
      </c>
      <c r="G57" s="13"/>
      <c r="H57" s="14"/>
      <c r="I57" s="14"/>
      <c r="J57" s="14"/>
      <c r="K57" s="38" t="s">
        <v>69</v>
      </c>
      <c r="N57" s="12" t="s">
        <v>84</v>
      </c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38" t="s">
        <v>69</v>
      </c>
      <c r="AH57" s="12" t="s">
        <v>123</v>
      </c>
      <c r="AI57" s="13"/>
      <c r="AJ57" s="14"/>
      <c r="AK57" s="14"/>
      <c r="AL57" s="14"/>
      <c r="AM57" s="38" t="s">
        <v>69</v>
      </c>
      <c r="AP57" s="12" t="s">
        <v>124</v>
      </c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38" t="s">
        <v>69</v>
      </c>
      <c r="BJ57" s="12" t="s">
        <v>125</v>
      </c>
      <c r="BK57" s="13"/>
      <c r="BL57" s="14"/>
      <c r="BM57" s="14"/>
      <c r="BN57" s="14"/>
      <c r="BO57" s="38" t="s">
        <v>69</v>
      </c>
      <c r="BR57" s="12" t="s">
        <v>126</v>
      </c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38" t="s">
        <v>69</v>
      </c>
      <c r="CL57" s="12" t="s">
        <v>127</v>
      </c>
      <c r="CM57" s="13"/>
      <c r="CN57" s="14"/>
      <c r="CO57" s="14"/>
      <c r="CP57" s="14"/>
      <c r="CQ57" s="38" t="s">
        <v>69</v>
      </c>
      <c r="CT57" s="12" t="s">
        <v>128</v>
      </c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38" t="s">
        <v>69</v>
      </c>
      <c r="DN57" s="12" t="s">
        <v>129</v>
      </c>
      <c r="DO57" s="13"/>
      <c r="DP57" s="14"/>
      <c r="DQ57" s="14"/>
      <c r="DR57" s="14"/>
      <c r="DS57" s="38" t="s">
        <v>69</v>
      </c>
      <c r="DV57" s="12" t="s">
        <v>130</v>
      </c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38" t="s">
        <v>69</v>
      </c>
      <c r="EP57" s="12" t="s">
        <v>131</v>
      </c>
      <c r="EQ57" s="13"/>
      <c r="ER57" s="14"/>
      <c r="ES57" s="14"/>
      <c r="ET57" s="14"/>
      <c r="EU57" s="38" t="s">
        <v>69</v>
      </c>
      <c r="EX57" s="12" t="s">
        <v>140</v>
      </c>
      <c r="EY57" s="13"/>
      <c r="EZ57" s="14"/>
      <c r="FA57" s="14"/>
      <c r="FB57" s="14"/>
      <c r="FC57" s="38" t="s">
        <v>69</v>
      </c>
    </row>
    <row r="58" spans="6:159" x14ac:dyDescent="0.35">
      <c r="F58" s="30" t="str">
        <f>F57</f>
        <v>NodeSS[2][1]</v>
      </c>
      <c r="G58" s="31" t="str">
        <f>F58&amp;"."&amp;I58</f>
        <v>NodeSS[2][1].sumQ[W]</v>
      </c>
      <c r="H58" s="15" t="s">
        <v>87</v>
      </c>
      <c r="I58" s="15" t="s">
        <v>65</v>
      </c>
      <c r="J58" s="28">
        <f>SUM(J53,R61,J71)</f>
        <v>0</v>
      </c>
      <c r="K58" s="17"/>
      <c r="N58" s="30" t="str">
        <f>N57</f>
        <v>Conduction_lat[2][1]</v>
      </c>
      <c r="O58" s="31" t="str">
        <f>N58</f>
        <v>Conduction_lat[2][1]</v>
      </c>
      <c r="P58" s="31" t="str">
        <f t="shared" ref="P58:AD58" si="101">O58</f>
        <v>Conduction_lat[2][1]</v>
      </c>
      <c r="Q58" s="31" t="str">
        <f t="shared" si="101"/>
        <v>Conduction_lat[2][1]</v>
      </c>
      <c r="R58" s="31" t="str">
        <f t="shared" si="101"/>
        <v>Conduction_lat[2][1]</v>
      </c>
      <c r="S58" s="31" t="str">
        <f t="shared" si="101"/>
        <v>Conduction_lat[2][1]</v>
      </c>
      <c r="T58" s="31" t="str">
        <f t="shared" si="101"/>
        <v>Conduction_lat[2][1]</v>
      </c>
      <c r="U58" s="31" t="str">
        <f t="shared" si="101"/>
        <v>Conduction_lat[2][1]</v>
      </c>
      <c r="V58" s="31" t="str">
        <f t="shared" si="101"/>
        <v>Conduction_lat[2][1]</v>
      </c>
      <c r="W58" s="31" t="str">
        <f t="shared" si="101"/>
        <v>Conduction_lat[2][1]</v>
      </c>
      <c r="X58" s="31" t="str">
        <f t="shared" si="101"/>
        <v>Conduction_lat[2][1]</v>
      </c>
      <c r="Y58" s="31" t="str">
        <f t="shared" si="101"/>
        <v>Conduction_lat[2][1]</v>
      </c>
      <c r="Z58" s="31" t="str">
        <f t="shared" si="101"/>
        <v>Conduction_lat[2][1]</v>
      </c>
      <c r="AA58" s="31" t="str">
        <f t="shared" si="101"/>
        <v>Conduction_lat[2][1]</v>
      </c>
      <c r="AB58" s="31" t="str">
        <f t="shared" si="101"/>
        <v>Conduction_lat[2][1]</v>
      </c>
      <c r="AC58" s="31" t="str">
        <f t="shared" si="101"/>
        <v>Conduction_lat[2][1]</v>
      </c>
      <c r="AD58" s="31" t="str">
        <f t="shared" si="101"/>
        <v>Conduction_lat[2][1]</v>
      </c>
      <c r="AE58" s="17"/>
      <c r="AH58" s="30" t="str">
        <f>AH57</f>
        <v>NodeSS[2][2]</v>
      </c>
      <c r="AI58" s="31" t="str">
        <f>AH58&amp;"."&amp;AK58</f>
        <v>NodeSS[2][2].sumQ[W]</v>
      </c>
      <c r="AJ58" s="15" t="s">
        <v>87</v>
      </c>
      <c r="AK58" s="15" t="s">
        <v>65</v>
      </c>
      <c r="AL58" s="28">
        <f>SUM(AL53,AT61,AL71,AD61)</f>
        <v>2.1032064978498966E-11</v>
      </c>
      <c r="AM58" s="17"/>
      <c r="AP58" s="30" t="str">
        <f>AP57</f>
        <v>Conduction_lat[2][2]</v>
      </c>
      <c r="AQ58" s="31" t="str">
        <f>AP58</f>
        <v>Conduction_lat[2][2]</v>
      </c>
      <c r="AR58" s="31" t="str">
        <f t="shared" ref="AR58" si="102">AQ58</f>
        <v>Conduction_lat[2][2]</v>
      </c>
      <c r="AS58" s="31" t="str">
        <f t="shared" ref="AS58" si="103">AR58</f>
        <v>Conduction_lat[2][2]</v>
      </c>
      <c r="AT58" s="31" t="str">
        <f t="shared" ref="AT58" si="104">AS58</f>
        <v>Conduction_lat[2][2]</v>
      </c>
      <c r="AU58" s="31" t="str">
        <f t="shared" ref="AU58" si="105">AT58</f>
        <v>Conduction_lat[2][2]</v>
      </c>
      <c r="AV58" s="31" t="str">
        <f t="shared" ref="AV58" si="106">AU58</f>
        <v>Conduction_lat[2][2]</v>
      </c>
      <c r="AW58" s="31" t="str">
        <f t="shared" ref="AW58" si="107">AV58</f>
        <v>Conduction_lat[2][2]</v>
      </c>
      <c r="AX58" s="31" t="str">
        <f t="shared" ref="AX58" si="108">AW58</f>
        <v>Conduction_lat[2][2]</v>
      </c>
      <c r="AY58" s="31" t="str">
        <f t="shared" ref="AY58" si="109">AX58</f>
        <v>Conduction_lat[2][2]</v>
      </c>
      <c r="AZ58" s="31" t="str">
        <f t="shared" ref="AZ58" si="110">AY58</f>
        <v>Conduction_lat[2][2]</v>
      </c>
      <c r="BA58" s="31" t="str">
        <f t="shared" ref="BA58" si="111">AZ58</f>
        <v>Conduction_lat[2][2]</v>
      </c>
      <c r="BB58" s="31" t="str">
        <f t="shared" ref="BB58" si="112">BA58</f>
        <v>Conduction_lat[2][2]</v>
      </c>
      <c r="BC58" s="31" t="str">
        <f t="shared" ref="BC58" si="113">BB58</f>
        <v>Conduction_lat[2][2]</v>
      </c>
      <c r="BD58" s="31" t="str">
        <f t="shared" ref="BD58" si="114">BC58</f>
        <v>Conduction_lat[2][2]</v>
      </c>
      <c r="BE58" s="31" t="str">
        <f t="shared" ref="BE58" si="115">BD58</f>
        <v>Conduction_lat[2][2]</v>
      </c>
      <c r="BF58" s="31" t="str">
        <f t="shared" ref="BF58" si="116">BE58</f>
        <v>Conduction_lat[2][2]</v>
      </c>
      <c r="BG58" s="17"/>
      <c r="BJ58" s="30" t="str">
        <f>BJ57</f>
        <v>NodeSS[2][3]</v>
      </c>
      <c r="BK58" s="31" t="str">
        <f>BJ58&amp;"."&amp;BM58</f>
        <v>NodeSS[2][3].sumQ[W]</v>
      </c>
      <c r="BL58" s="15" t="s">
        <v>87</v>
      </c>
      <c r="BM58" s="15" t="s">
        <v>65</v>
      </c>
      <c r="BN58" s="28">
        <f>SUM(BN53,BV61,BN71,BF61)</f>
        <v>7.617018127348274E-12</v>
      </c>
      <c r="BO58" s="17"/>
      <c r="BR58" s="30" t="str">
        <f>BR57</f>
        <v>Conduction_lat[2][3]</v>
      </c>
      <c r="BS58" s="31" t="str">
        <f>BR58</f>
        <v>Conduction_lat[2][3]</v>
      </c>
      <c r="BT58" s="31" t="str">
        <f t="shared" ref="BT58" si="117">BS58</f>
        <v>Conduction_lat[2][3]</v>
      </c>
      <c r="BU58" s="31" t="str">
        <f t="shared" ref="BU58" si="118">BT58</f>
        <v>Conduction_lat[2][3]</v>
      </c>
      <c r="BV58" s="31" t="str">
        <f t="shared" ref="BV58" si="119">BU58</f>
        <v>Conduction_lat[2][3]</v>
      </c>
      <c r="BW58" s="31" t="str">
        <f t="shared" ref="BW58" si="120">BV58</f>
        <v>Conduction_lat[2][3]</v>
      </c>
      <c r="BX58" s="31" t="str">
        <f t="shared" ref="BX58" si="121">BW58</f>
        <v>Conduction_lat[2][3]</v>
      </c>
      <c r="BY58" s="31" t="str">
        <f t="shared" ref="BY58" si="122">BX58</f>
        <v>Conduction_lat[2][3]</v>
      </c>
      <c r="BZ58" s="31" t="str">
        <f t="shared" ref="BZ58" si="123">BY58</f>
        <v>Conduction_lat[2][3]</v>
      </c>
      <c r="CA58" s="31" t="str">
        <f t="shared" ref="CA58" si="124">BZ58</f>
        <v>Conduction_lat[2][3]</v>
      </c>
      <c r="CB58" s="31" t="str">
        <f t="shared" ref="CB58" si="125">CA58</f>
        <v>Conduction_lat[2][3]</v>
      </c>
      <c r="CC58" s="31" t="str">
        <f t="shared" ref="CC58" si="126">CB58</f>
        <v>Conduction_lat[2][3]</v>
      </c>
      <c r="CD58" s="31" t="str">
        <f t="shared" ref="CD58" si="127">CC58</f>
        <v>Conduction_lat[2][3]</v>
      </c>
      <c r="CE58" s="31" t="str">
        <f t="shared" ref="CE58" si="128">CD58</f>
        <v>Conduction_lat[2][3]</v>
      </c>
      <c r="CF58" s="31" t="str">
        <f t="shared" ref="CF58" si="129">CE58</f>
        <v>Conduction_lat[2][3]</v>
      </c>
      <c r="CG58" s="31" t="str">
        <f t="shared" ref="CG58" si="130">CF58</f>
        <v>Conduction_lat[2][3]</v>
      </c>
      <c r="CH58" s="31" t="str">
        <f t="shared" ref="CH58" si="131">CG58</f>
        <v>Conduction_lat[2][3]</v>
      </c>
      <c r="CI58" s="17"/>
      <c r="CL58" s="30" t="str">
        <f>CL57</f>
        <v>NodeSS[2][4]</v>
      </c>
      <c r="CM58" s="31" t="str">
        <f>CL58&amp;"."&amp;CO58</f>
        <v>NodeSS[2][4].sumQ[W]</v>
      </c>
      <c r="CN58" s="15" t="s">
        <v>87</v>
      </c>
      <c r="CO58" s="15" t="s">
        <v>65</v>
      </c>
      <c r="CP58" s="28">
        <f>SUM(CP53,CX61,CP71,CH61)</f>
        <v>5.9117155615240335E-12</v>
      </c>
      <c r="CQ58" s="17"/>
      <c r="CT58" s="30" t="str">
        <f>CT57</f>
        <v>Conduction_lat[2][4]</v>
      </c>
      <c r="CU58" s="31" t="str">
        <f>CT58</f>
        <v>Conduction_lat[2][4]</v>
      </c>
      <c r="CV58" s="31" t="str">
        <f t="shared" ref="CV58" si="132">CU58</f>
        <v>Conduction_lat[2][4]</v>
      </c>
      <c r="CW58" s="31" t="str">
        <f t="shared" ref="CW58" si="133">CV58</f>
        <v>Conduction_lat[2][4]</v>
      </c>
      <c r="CX58" s="31" t="str">
        <f t="shared" ref="CX58" si="134">CW58</f>
        <v>Conduction_lat[2][4]</v>
      </c>
      <c r="CY58" s="31" t="str">
        <f t="shared" ref="CY58" si="135">CX58</f>
        <v>Conduction_lat[2][4]</v>
      </c>
      <c r="CZ58" s="31" t="str">
        <f t="shared" ref="CZ58" si="136">CY58</f>
        <v>Conduction_lat[2][4]</v>
      </c>
      <c r="DA58" s="31" t="str">
        <f t="shared" ref="DA58" si="137">CZ58</f>
        <v>Conduction_lat[2][4]</v>
      </c>
      <c r="DB58" s="31" t="str">
        <f t="shared" ref="DB58" si="138">DA58</f>
        <v>Conduction_lat[2][4]</v>
      </c>
      <c r="DC58" s="31" t="str">
        <f t="shared" ref="DC58" si="139">DB58</f>
        <v>Conduction_lat[2][4]</v>
      </c>
      <c r="DD58" s="31" t="str">
        <f t="shared" ref="DD58" si="140">DC58</f>
        <v>Conduction_lat[2][4]</v>
      </c>
      <c r="DE58" s="31" t="str">
        <f t="shared" ref="DE58" si="141">DD58</f>
        <v>Conduction_lat[2][4]</v>
      </c>
      <c r="DF58" s="31" t="str">
        <f t="shared" ref="DF58" si="142">DE58</f>
        <v>Conduction_lat[2][4]</v>
      </c>
      <c r="DG58" s="31" t="str">
        <f t="shared" ref="DG58" si="143">DF58</f>
        <v>Conduction_lat[2][4]</v>
      </c>
      <c r="DH58" s="31" t="str">
        <f t="shared" ref="DH58" si="144">DG58</f>
        <v>Conduction_lat[2][4]</v>
      </c>
      <c r="DI58" s="31" t="str">
        <f t="shared" ref="DI58" si="145">DH58</f>
        <v>Conduction_lat[2][4]</v>
      </c>
      <c r="DJ58" s="31" t="str">
        <f t="shared" ref="DJ58" si="146">DI58</f>
        <v>Conduction_lat[2][4]</v>
      </c>
      <c r="DK58" s="17"/>
      <c r="DN58" s="30" t="str">
        <f>DN57</f>
        <v>NodeSS[2][5]</v>
      </c>
      <c r="DO58" s="31" t="str">
        <f>DN58&amp;"."&amp;DQ58</f>
        <v>NodeSS[2][5].sumQ[W]</v>
      </c>
      <c r="DP58" s="15" t="s">
        <v>87</v>
      </c>
      <c r="DQ58" s="15" t="s">
        <v>65</v>
      </c>
      <c r="DR58" s="28">
        <f>SUM(DR53,DZ61,DR71,DJ61)</f>
        <v>4.8885340220294893E-12</v>
      </c>
      <c r="DS58" s="17"/>
      <c r="DV58" s="30" t="str">
        <f>DV57</f>
        <v>Conduction_lat[2][5]</v>
      </c>
      <c r="DW58" s="31" t="str">
        <f>DV58</f>
        <v>Conduction_lat[2][5]</v>
      </c>
      <c r="DX58" s="31" t="str">
        <f t="shared" ref="DX58" si="147">DW58</f>
        <v>Conduction_lat[2][5]</v>
      </c>
      <c r="DY58" s="31" t="str">
        <f t="shared" ref="DY58" si="148">DX58</f>
        <v>Conduction_lat[2][5]</v>
      </c>
      <c r="DZ58" s="31" t="str">
        <f t="shared" ref="DZ58" si="149">DY58</f>
        <v>Conduction_lat[2][5]</v>
      </c>
      <c r="EA58" s="31" t="str">
        <f t="shared" ref="EA58" si="150">DZ58</f>
        <v>Conduction_lat[2][5]</v>
      </c>
      <c r="EB58" s="31" t="str">
        <f t="shared" ref="EB58" si="151">EA58</f>
        <v>Conduction_lat[2][5]</v>
      </c>
      <c r="EC58" s="31" t="str">
        <f t="shared" ref="EC58" si="152">EB58</f>
        <v>Conduction_lat[2][5]</v>
      </c>
      <c r="ED58" s="31" t="str">
        <f t="shared" ref="ED58" si="153">EC58</f>
        <v>Conduction_lat[2][5]</v>
      </c>
      <c r="EE58" s="31" t="str">
        <f t="shared" ref="EE58" si="154">ED58</f>
        <v>Conduction_lat[2][5]</v>
      </c>
      <c r="EF58" s="31" t="str">
        <f t="shared" ref="EF58" si="155">EE58</f>
        <v>Conduction_lat[2][5]</v>
      </c>
      <c r="EG58" s="31" t="str">
        <f t="shared" ref="EG58" si="156">EF58</f>
        <v>Conduction_lat[2][5]</v>
      </c>
      <c r="EH58" s="31" t="str">
        <f t="shared" ref="EH58" si="157">EG58</f>
        <v>Conduction_lat[2][5]</v>
      </c>
      <c r="EI58" s="31" t="str">
        <f t="shared" ref="EI58" si="158">EH58</f>
        <v>Conduction_lat[2][5]</v>
      </c>
      <c r="EJ58" s="31" t="str">
        <f t="shared" ref="EJ58" si="159">EI58</f>
        <v>Conduction_lat[2][5]</v>
      </c>
      <c r="EK58" s="31" t="str">
        <f t="shared" ref="EK58" si="160">EJ58</f>
        <v>Conduction_lat[2][5]</v>
      </c>
      <c r="EL58" s="31" t="str">
        <f t="shared" ref="EL58" si="161">EK58</f>
        <v>Conduction_lat[2][5]</v>
      </c>
      <c r="EM58" s="17"/>
      <c r="EP58" s="30" t="str">
        <f>EP57</f>
        <v>NodeSS[2][6]</v>
      </c>
      <c r="EQ58" s="31" t="str">
        <f>EP58&amp;"."&amp;ES58</f>
        <v>NodeSS[2][6].sumQ[W]</v>
      </c>
      <c r="ER58" s="15" t="s">
        <v>87</v>
      </c>
      <c r="ES58" s="15" t="s">
        <v>65</v>
      </c>
      <c r="ET58" s="28">
        <f>SUM(EL61,FB58)</f>
        <v>0</v>
      </c>
      <c r="EU58" s="17"/>
      <c r="EX58" s="30" t="str">
        <f>EX57</f>
        <v>BoundaryCondition_heat[2][1]</v>
      </c>
      <c r="EY58" s="31" t="str">
        <f>EX58&amp;"."&amp;FA58</f>
        <v>BoundaryCondition_heat[2][1].Q[W]</v>
      </c>
      <c r="EZ58" s="15" t="s">
        <v>88</v>
      </c>
      <c r="FA58" s="15" t="s">
        <v>77</v>
      </c>
      <c r="FB58" s="42">
        <v>-300</v>
      </c>
      <c r="FC58" s="17"/>
    </row>
    <row r="59" spans="6:159" ht="17.25" thickBot="1" x14ac:dyDescent="0.4">
      <c r="F59" s="30" t="str">
        <f t="shared" ref="F59" si="162">F58</f>
        <v>NodeSS[2][1]</v>
      </c>
      <c r="G59" s="31" t="str">
        <f>F59&amp;"."&amp;I59</f>
        <v>NodeSS[2][1].T[K]</v>
      </c>
      <c r="H59" s="15" t="s">
        <v>90</v>
      </c>
      <c r="I59" s="15" t="s">
        <v>67</v>
      </c>
      <c r="J59" s="45">
        <f>solver!F62</f>
        <v>799.57509936454642</v>
      </c>
      <c r="K59" s="17"/>
      <c r="N59" s="30" t="str">
        <f>N58</f>
        <v>Conduction_lat[2][1]</v>
      </c>
      <c r="O59" s="31"/>
      <c r="P59" s="16"/>
      <c r="Q59" s="16"/>
      <c r="R59" s="16"/>
      <c r="S59" s="16"/>
      <c r="T59" s="31" t="str">
        <f>T58</f>
        <v>Conduction_lat[2][1]</v>
      </c>
      <c r="U59" s="31"/>
      <c r="V59" s="16"/>
      <c r="W59" s="16"/>
      <c r="X59" s="16"/>
      <c r="Y59" s="16"/>
      <c r="Z59" s="31" t="str">
        <f>Z58</f>
        <v>Conduction_lat[2][1]</v>
      </c>
      <c r="AA59" s="16"/>
      <c r="AB59" s="16"/>
      <c r="AC59" s="16"/>
      <c r="AD59" s="16"/>
      <c r="AE59" s="17"/>
      <c r="AH59" s="30" t="str">
        <f t="shared" ref="AH59" si="163">AH58</f>
        <v>NodeSS[2][2]</v>
      </c>
      <c r="AI59" s="31" t="str">
        <f>AH59&amp;"."&amp;AK59</f>
        <v>NodeSS[2][2].T[K]</v>
      </c>
      <c r="AJ59" s="15" t="s">
        <v>86</v>
      </c>
      <c r="AK59" s="15" t="s">
        <v>67</v>
      </c>
      <c r="AL59" s="45">
        <f>solver!F63</f>
        <v>768.26863843665751</v>
      </c>
      <c r="AM59" s="17"/>
      <c r="AP59" s="30" t="str">
        <f>AP58</f>
        <v>Conduction_lat[2][2]</v>
      </c>
      <c r="AQ59" s="31"/>
      <c r="AR59" s="16"/>
      <c r="AS59" s="16"/>
      <c r="AT59" s="16"/>
      <c r="AU59" s="16"/>
      <c r="AV59" s="31" t="str">
        <f>AV58</f>
        <v>Conduction_lat[2][2]</v>
      </c>
      <c r="AW59" s="31"/>
      <c r="AX59" s="16"/>
      <c r="AY59" s="16"/>
      <c r="AZ59" s="16"/>
      <c r="BA59" s="16"/>
      <c r="BB59" s="31" t="str">
        <f>BB58</f>
        <v>Conduction_lat[2][2]</v>
      </c>
      <c r="BC59" s="16"/>
      <c r="BD59" s="16"/>
      <c r="BE59" s="16"/>
      <c r="BF59" s="16"/>
      <c r="BG59" s="17"/>
      <c r="BJ59" s="30" t="str">
        <f t="shared" ref="BJ59" si="164">BJ58</f>
        <v>NodeSS[2][3]</v>
      </c>
      <c r="BK59" s="31" t="str">
        <f>BJ59&amp;"."&amp;BM59</f>
        <v>NodeSS[2][3].T[K]</v>
      </c>
      <c r="BL59" s="15" t="s">
        <v>86</v>
      </c>
      <c r="BM59" s="15" t="s">
        <v>67</v>
      </c>
      <c r="BN59" s="45">
        <f>solver!F64</f>
        <v>930.09040903197172</v>
      </c>
      <c r="BO59" s="17"/>
      <c r="BR59" s="30" t="str">
        <f>BR58</f>
        <v>Conduction_lat[2][3]</v>
      </c>
      <c r="BS59" s="31"/>
      <c r="BT59" s="16"/>
      <c r="BU59" s="16"/>
      <c r="BV59" s="16"/>
      <c r="BW59" s="16"/>
      <c r="BX59" s="31" t="str">
        <f>BX58</f>
        <v>Conduction_lat[2][3]</v>
      </c>
      <c r="BY59" s="31"/>
      <c r="BZ59" s="16"/>
      <c r="CA59" s="16"/>
      <c r="CB59" s="16"/>
      <c r="CC59" s="16"/>
      <c r="CD59" s="31" t="str">
        <f>CD58</f>
        <v>Conduction_lat[2][3]</v>
      </c>
      <c r="CE59" s="16"/>
      <c r="CF59" s="16"/>
      <c r="CG59" s="16"/>
      <c r="CH59" s="16"/>
      <c r="CI59" s="17"/>
      <c r="CL59" s="30" t="str">
        <f t="shared" ref="CL59" si="165">CL58</f>
        <v>NodeSS[2][4]</v>
      </c>
      <c r="CM59" s="31" t="str">
        <f>CL59&amp;"."&amp;CO59</f>
        <v>NodeSS[2][4].T[K]</v>
      </c>
      <c r="CN59" s="15" t="s">
        <v>86</v>
      </c>
      <c r="CO59" s="15" t="s">
        <v>67</v>
      </c>
      <c r="CP59" s="45">
        <f>solver!F65</f>
        <v>701.61461315977374</v>
      </c>
      <c r="CQ59" s="17"/>
      <c r="CT59" s="30" t="str">
        <f>CT58</f>
        <v>Conduction_lat[2][4]</v>
      </c>
      <c r="CU59" s="31"/>
      <c r="CV59" s="16"/>
      <c r="CW59" s="16"/>
      <c r="CX59" s="16"/>
      <c r="CY59" s="16"/>
      <c r="CZ59" s="31" t="str">
        <f>CZ58</f>
        <v>Conduction_lat[2][4]</v>
      </c>
      <c r="DA59" s="31"/>
      <c r="DB59" s="16"/>
      <c r="DC59" s="16"/>
      <c r="DD59" s="16"/>
      <c r="DE59" s="16"/>
      <c r="DF59" s="31" t="str">
        <f>DF58</f>
        <v>Conduction_lat[2][4]</v>
      </c>
      <c r="DG59" s="16"/>
      <c r="DH59" s="16"/>
      <c r="DI59" s="16"/>
      <c r="DJ59" s="16"/>
      <c r="DK59" s="17"/>
      <c r="DN59" s="30" t="str">
        <f t="shared" ref="DN59" si="166">DN58</f>
        <v>NodeSS[2][5]</v>
      </c>
      <c r="DO59" s="31" t="str">
        <f>DN59&amp;"."&amp;DQ59</f>
        <v>NodeSS[2][5].T[K]</v>
      </c>
      <c r="DP59" s="15" t="s">
        <v>86</v>
      </c>
      <c r="DQ59" s="15" t="s">
        <v>67</v>
      </c>
      <c r="DR59" s="45">
        <f>solver!F66</f>
        <v>668.11790667371747</v>
      </c>
      <c r="DS59" s="17"/>
      <c r="DV59" s="30" t="str">
        <f>DV58</f>
        <v>Conduction_lat[2][5]</v>
      </c>
      <c r="DW59" s="31"/>
      <c r="DX59" s="16"/>
      <c r="DY59" s="16"/>
      <c r="DZ59" s="16"/>
      <c r="EA59" s="16"/>
      <c r="EB59" s="31" t="str">
        <f>EB58</f>
        <v>Conduction_lat[2][5]</v>
      </c>
      <c r="EC59" s="31"/>
      <c r="ED59" s="16"/>
      <c r="EE59" s="16"/>
      <c r="EF59" s="16"/>
      <c r="EG59" s="16"/>
      <c r="EH59" s="31" t="str">
        <f>EH58</f>
        <v>Conduction_lat[2][5]</v>
      </c>
      <c r="EI59" s="16"/>
      <c r="EJ59" s="16"/>
      <c r="EK59" s="16"/>
      <c r="EL59" s="16"/>
      <c r="EM59" s="17"/>
      <c r="EP59" s="30" t="str">
        <f t="shared" ref="EP59" si="167">EP58</f>
        <v>NodeSS[2][6]</v>
      </c>
      <c r="EQ59" s="31" t="str">
        <f>EP59&amp;"."&amp;ES59</f>
        <v>NodeSS[2][6].T[K]</v>
      </c>
      <c r="ER59" s="15" t="s">
        <v>86</v>
      </c>
      <c r="ES59" s="15" t="s">
        <v>67</v>
      </c>
      <c r="ET59" s="45">
        <f>solver!F67</f>
        <v>968.11790667371747</v>
      </c>
      <c r="EU59" s="17"/>
      <c r="EX59" s="37" t="s">
        <v>69</v>
      </c>
      <c r="EY59" s="18"/>
      <c r="EZ59" s="40"/>
      <c r="FA59" s="40"/>
      <c r="FB59" s="18"/>
      <c r="FC59" s="39" t="s">
        <v>69</v>
      </c>
    </row>
    <row r="60" spans="6:159" ht="17.25" thickBot="1" x14ac:dyDescent="0.4">
      <c r="F60" s="37" t="s">
        <v>69</v>
      </c>
      <c r="G60" s="18"/>
      <c r="H60" s="40"/>
      <c r="I60" s="40"/>
      <c r="J60" s="18"/>
      <c r="K60" s="39" t="s">
        <v>69</v>
      </c>
      <c r="N60" s="30" t="str">
        <f t="shared" ref="N60:N66" si="168">N59</f>
        <v>Conduction_lat[2][1]</v>
      </c>
      <c r="O60" s="31" t="str">
        <f>N60&amp;"."&amp;Q60</f>
        <v>Conduction_lat[2][1].T1[K]</v>
      </c>
      <c r="P60" s="15" t="s">
        <v>87</v>
      </c>
      <c r="Q60" s="15" t="s">
        <v>63</v>
      </c>
      <c r="R60" s="28">
        <f>J59</f>
        <v>799.57509936454642</v>
      </c>
      <c r="S60" s="16"/>
      <c r="T60" s="31" t="str">
        <f t="shared" ref="T60:T66" si="169">T59</f>
        <v>Conduction_lat[2][1]</v>
      </c>
      <c r="U60" s="31" t="str">
        <f>T60&amp;"."&amp;W60</f>
        <v>Conduction_lat[2][1].A[m2]</v>
      </c>
      <c r="V60" s="19" t="s">
        <v>87</v>
      </c>
      <c r="W60" s="20" t="s">
        <v>50</v>
      </c>
      <c r="X60" s="43">
        <v>0.01</v>
      </c>
      <c r="Y60" s="16"/>
      <c r="Z60" s="31" t="str">
        <f t="shared" ref="Z60:Z61" si="170">Z59</f>
        <v>Conduction_lat[2][1]</v>
      </c>
      <c r="AA60" s="31" t="str">
        <f>Z60&amp;"."&amp;AC60</f>
        <v>Conduction_lat[2][1].T2[K]</v>
      </c>
      <c r="AB60" s="15" t="s">
        <v>87</v>
      </c>
      <c r="AC60" s="15" t="s">
        <v>59</v>
      </c>
      <c r="AD60" s="28">
        <f>AL59</f>
        <v>768.26863843665751</v>
      </c>
      <c r="AE60" s="17"/>
      <c r="AH60" s="37" t="s">
        <v>69</v>
      </c>
      <c r="AI60" s="18"/>
      <c r="AJ60" s="40"/>
      <c r="AK60" s="40"/>
      <c r="AL60" s="18"/>
      <c r="AM60" s="39" t="s">
        <v>69</v>
      </c>
      <c r="AP60" s="30" t="str">
        <f t="shared" ref="AP60:AP66" si="171">AP59</f>
        <v>Conduction_lat[2][2]</v>
      </c>
      <c r="AQ60" s="31" t="str">
        <f>AP60&amp;"."&amp;AS60</f>
        <v>Conduction_lat[2][2].T1[K]</v>
      </c>
      <c r="AR60" s="15" t="s">
        <v>87</v>
      </c>
      <c r="AS60" s="15" t="s">
        <v>63</v>
      </c>
      <c r="AT60" s="28">
        <f>AL59</f>
        <v>768.26863843665751</v>
      </c>
      <c r="AU60" s="16"/>
      <c r="AV60" s="31" t="str">
        <f t="shared" ref="AV60:AV66" si="172">AV59</f>
        <v>Conduction_lat[2][2]</v>
      </c>
      <c r="AW60" s="31" t="str">
        <f>AV60&amp;"."&amp;AY60</f>
        <v>Conduction_lat[2][2].A[m2]</v>
      </c>
      <c r="AX60" s="19" t="s">
        <v>87</v>
      </c>
      <c r="AY60" s="20" t="s">
        <v>50</v>
      </c>
      <c r="AZ60" s="43">
        <v>0.01</v>
      </c>
      <c r="BA60" s="16"/>
      <c r="BB60" s="31" t="str">
        <f t="shared" ref="BB60:BB61" si="173">BB59</f>
        <v>Conduction_lat[2][2]</v>
      </c>
      <c r="BC60" s="31" t="str">
        <f>BB60&amp;"."&amp;BE60</f>
        <v>Conduction_lat[2][2].T2[K]</v>
      </c>
      <c r="BD60" s="15" t="s">
        <v>87</v>
      </c>
      <c r="BE60" s="15" t="s">
        <v>59</v>
      </c>
      <c r="BF60" s="28">
        <f>BN59</f>
        <v>930.09040903197172</v>
      </c>
      <c r="BG60" s="17"/>
      <c r="BJ60" s="37" t="s">
        <v>69</v>
      </c>
      <c r="BK60" s="18"/>
      <c r="BL60" s="40"/>
      <c r="BM60" s="40"/>
      <c r="BN60" s="18"/>
      <c r="BO60" s="39" t="s">
        <v>69</v>
      </c>
      <c r="BR60" s="30" t="str">
        <f t="shared" ref="BR60:BR66" si="174">BR59</f>
        <v>Conduction_lat[2][3]</v>
      </c>
      <c r="BS60" s="31" t="str">
        <f>BR60&amp;"."&amp;BU60</f>
        <v>Conduction_lat[2][3].T1[K]</v>
      </c>
      <c r="BT60" s="15" t="s">
        <v>87</v>
      </c>
      <c r="BU60" s="15" t="s">
        <v>63</v>
      </c>
      <c r="BV60" s="28">
        <f>BN59</f>
        <v>930.09040903197172</v>
      </c>
      <c r="BW60" s="16"/>
      <c r="BX60" s="31" t="str">
        <f t="shared" ref="BX60:BX66" si="175">BX59</f>
        <v>Conduction_lat[2][3]</v>
      </c>
      <c r="BY60" s="31" t="str">
        <f>BX60&amp;"."&amp;CA60</f>
        <v>Conduction_lat[2][3].A[m2]</v>
      </c>
      <c r="BZ60" s="19" t="s">
        <v>87</v>
      </c>
      <c r="CA60" s="20" t="s">
        <v>50</v>
      </c>
      <c r="CB60" s="43">
        <v>0.01</v>
      </c>
      <c r="CC60" s="16"/>
      <c r="CD60" s="31" t="str">
        <f t="shared" ref="CD60:CD61" si="176">CD59</f>
        <v>Conduction_lat[2][3]</v>
      </c>
      <c r="CE60" s="31" t="str">
        <f>CD60&amp;"."&amp;CG60</f>
        <v>Conduction_lat[2][3].T2[K]</v>
      </c>
      <c r="CF60" s="15" t="s">
        <v>87</v>
      </c>
      <c r="CG60" s="15" t="s">
        <v>59</v>
      </c>
      <c r="CH60" s="28">
        <f>CP59</f>
        <v>701.61461315977374</v>
      </c>
      <c r="CI60" s="17"/>
      <c r="CL60" s="37" t="s">
        <v>69</v>
      </c>
      <c r="CM60" s="18"/>
      <c r="CN60" s="40"/>
      <c r="CO60" s="40"/>
      <c r="CP60" s="18"/>
      <c r="CQ60" s="39" t="s">
        <v>69</v>
      </c>
      <c r="CT60" s="30" t="str">
        <f t="shared" ref="CT60:CT66" si="177">CT59</f>
        <v>Conduction_lat[2][4]</v>
      </c>
      <c r="CU60" s="31" t="str">
        <f>CT60&amp;"."&amp;CW60</f>
        <v>Conduction_lat[2][4].T1[K]</v>
      </c>
      <c r="CV60" s="15" t="s">
        <v>87</v>
      </c>
      <c r="CW60" s="15" t="s">
        <v>63</v>
      </c>
      <c r="CX60" s="28">
        <f>CP59</f>
        <v>701.61461315977374</v>
      </c>
      <c r="CY60" s="16"/>
      <c r="CZ60" s="31" t="str">
        <f t="shared" ref="CZ60:CZ66" si="178">CZ59</f>
        <v>Conduction_lat[2][4]</v>
      </c>
      <c r="DA60" s="31" t="str">
        <f>CZ60&amp;"."&amp;DC60</f>
        <v>Conduction_lat[2][4].A[m2]</v>
      </c>
      <c r="DB60" s="19" t="s">
        <v>87</v>
      </c>
      <c r="DC60" s="20" t="s">
        <v>50</v>
      </c>
      <c r="DD60" s="43">
        <v>0.01</v>
      </c>
      <c r="DE60" s="16"/>
      <c r="DF60" s="31" t="str">
        <f t="shared" ref="DF60:DF61" si="179">DF59</f>
        <v>Conduction_lat[2][4]</v>
      </c>
      <c r="DG60" s="31" t="str">
        <f>DF60&amp;"."&amp;DI60</f>
        <v>Conduction_lat[2][4].T2[K]</v>
      </c>
      <c r="DH60" s="15" t="s">
        <v>87</v>
      </c>
      <c r="DI60" s="15" t="s">
        <v>59</v>
      </c>
      <c r="DJ60" s="28">
        <f>DR59</f>
        <v>668.11790667371747</v>
      </c>
      <c r="DK60" s="17"/>
      <c r="DN60" s="37" t="s">
        <v>69</v>
      </c>
      <c r="DO60" s="18"/>
      <c r="DP60" s="40"/>
      <c r="DQ60" s="40"/>
      <c r="DR60" s="18"/>
      <c r="DS60" s="39" t="s">
        <v>69</v>
      </c>
      <c r="DV60" s="30" t="str">
        <f t="shared" ref="DV60:DV66" si="180">DV59</f>
        <v>Conduction_lat[2][5]</v>
      </c>
      <c r="DW60" s="31" t="str">
        <f>DV60&amp;"."&amp;DY60</f>
        <v>Conduction_lat[2][5].T1[K]</v>
      </c>
      <c r="DX60" s="15" t="s">
        <v>87</v>
      </c>
      <c r="DY60" s="15" t="s">
        <v>63</v>
      </c>
      <c r="DZ60" s="28">
        <f>DR59</f>
        <v>668.11790667371747</v>
      </c>
      <c r="EA60" s="16"/>
      <c r="EB60" s="31" t="str">
        <f t="shared" ref="EB60:EB66" si="181">EB59</f>
        <v>Conduction_lat[2][5]</v>
      </c>
      <c r="EC60" s="31" t="str">
        <f>EB60&amp;"."&amp;EE60</f>
        <v>Conduction_lat[2][5].A[m2]</v>
      </c>
      <c r="ED60" s="19" t="s">
        <v>87</v>
      </c>
      <c r="EE60" s="20" t="s">
        <v>50</v>
      </c>
      <c r="EF60" s="43">
        <v>0.01</v>
      </c>
      <c r="EG60" s="16"/>
      <c r="EH60" s="31" t="str">
        <f t="shared" ref="EH60:EH61" si="182">EH59</f>
        <v>Conduction_lat[2][5]</v>
      </c>
      <c r="EI60" s="31" t="str">
        <f>EH60&amp;"."&amp;EK60</f>
        <v>Conduction_lat[2][5].T2[K]</v>
      </c>
      <c r="EJ60" s="15" t="s">
        <v>87</v>
      </c>
      <c r="EK60" s="15" t="s">
        <v>59</v>
      </c>
      <c r="EL60" s="28">
        <f>ET59</f>
        <v>968.11790667371747</v>
      </c>
      <c r="EM60" s="17"/>
      <c r="EP60" s="37" t="s">
        <v>69</v>
      </c>
      <c r="EQ60" s="18"/>
      <c r="ER60" s="40"/>
      <c r="ES60" s="40"/>
      <c r="ET60" s="18"/>
      <c r="EU60" s="39" t="s">
        <v>69</v>
      </c>
    </row>
    <row r="61" spans="6:159" x14ac:dyDescent="0.35">
      <c r="N61" s="30" t="str">
        <f t="shared" si="168"/>
        <v>Conduction_lat[2][1]</v>
      </c>
      <c r="O61" s="31" t="str">
        <f>N61&amp;"."&amp;Q61</f>
        <v>Conduction_lat[2][1].Q1in[W]</v>
      </c>
      <c r="P61" s="15" t="s">
        <v>89</v>
      </c>
      <c r="Q61" s="15" t="s">
        <v>62</v>
      </c>
      <c r="R61" s="16">
        <f>X64</f>
        <v>31.306460927888907</v>
      </c>
      <c r="S61" s="16"/>
      <c r="T61" s="31" t="str">
        <f t="shared" si="169"/>
        <v>Conduction_lat[2][1]</v>
      </c>
      <c r="U61" s="31" t="str">
        <f t="shared" ref="U61:U62" si="183">T61&amp;"."&amp;W61</f>
        <v>Conduction_lat[2][1].th[m]</v>
      </c>
      <c r="V61" s="24" t="s">
        <v>87</v>
      </c>
      <c r="W61" s="16" t="s">
        <v>52</v>
      </c>
      <c r="X61" s="41">
        <v>0.1</v>
      </c>
      <c r="Y61" s="16"/>
      <c r="Z61" s="31" t="str">
        <f t="shared" si="170"/>
        <v>Conduction_lat[2][1]</v>
      </c>
      <c r="AA61" s="31" t="str">
        <f>Z61&amp;"."&amp;AC61</f>
        <v>Conduction_lat[2][1].Q2in[W]</v>
      </c>
      <c r="AB61" s="15" t="s">
        <v>91</v>
      </c>
      <c r="AC61" s="15" t="s">
        <v>61</v>
      </c>
      <c r="AD61" s="16">
        <f>X65</f>
        <v>-31.306460927888907</v>
      </c>
      <c r="AE61" s="17"/>
      <c r="AP61" s="30" t="str">
        <f t="shared" si="171"/>
        <v>Conduction_lat[2][2]</v>
      </c>
      <c r="AQ61" s="31" t="str">
        <f>AP61&amp;"."&amp;AS61</f>
        <v>Conduction_lat[2][2].Q1in[W]</v>
      </c>
      <c r="AR61" s="15" t="s">
        <v>89</v>
      </c>
      <c r="AS61" s="15" t="s">
        <v>62</v>
      </c>
      <c r="AT61" s="16">
        <f>AZ64</f>
        <v>-161.82177059531421</v>
      </c>
      <c r="AU61" s="16"/>
      <c r="AV61" s="31" t="str">
        <f t="shared" si="172"/>
        <v>Conduction_lat[2][2]</v>
      </c>
      <c r="AW61" s="31" t="str">
        <f t="shared" ref="AW61:AW62" si="184">AV61&amp;"."&amp;AY61</f>
        <v>Conduction_lat[2][2].th[m]</v>
      </c>
      <c r="AX61" s="24" t="s">
        <v>87</v>
      </c>
      <c r="AY61" s="16" t="s">
        <v>52</v>
      </c>
      <c r="AZ61" s="41">
        <v>0.1</v>
      </c>
      <c r="BA61" s="16"/>
      <c r="BB61" s="31" t="str">
        <f t="shared" si="173"/>
        <v>Conduction_lat[2][2]</v>
      </c>
      <c r="BC61" s="31" t="str">
        <f>BB61&amp;"."&amp;BE61</f>
        <v>Conduction_lat[2][2].Q2in[W]</v>
      </c>
      <c r="BD61" s="15" t="s">
        <v>91</v>
      </c>
      <c r="BE61" s="15" t="s">
        <v>61</v>
      </c>
      <c r="BF61" s="16">
        <f>AZ65</f>
        <v>161.82177059531421</v>
      </c>
      <c r="BG61" s="17"/>
      <c r="BR61" s="30" t="str">
        <f t="shared" si="174"/>
        <v>Conduction_lat[2][3]</v>
      </c>
      <c r="BS61" s="31" t="str">
        <f>BR61&amp;"."&amp;BU61</f>
        <v>Conduction_lat[2][3].Q1in[W]</v>
      </c>
      <c r="BT61" s="15" t="s">
        <v>89</v>
      </c>
      <c r="BU61" s="15" t="s">
        <v>62</v>
      </c>
      <c r="BV61" s="16">
        <f>CB64</f>
        <v>228.47579587219798</v>
      </c>
      <c r="BW61" s="16"/>
      <c r="BX61" s="31" t="str">
        <f t="shared" si="175"/>
        <v>Conduction_lat[2][3]</v>
      </c>
      <c r="BY61" s="31" t="str">
        <f t="shared" ref="BY61:BY62" si="185">BX61&amp;"."&amp;CA61</f>
        <v>Conduction_lat[2][3].th[m]</v>
      </c>
      <c r="BZ61" s="24" t="s">
        <v>87</v>
      </c>
      <c r="CA61" s="16" t="s">
        <v>52</v>
      </c>
      <c r="CB61" s="41">
        <v>0.1</v>
      </c>
      <c r="CC61" s="16"/>
      <c r="CD61" s="31" t="str">
        <f t="shared" si="176"/>
        <v>Conduction_lat[2][3]</v>
      </c>
      <c r="CE61" s="31" t="str">
        <f>CD61&amp;"."&amp;CG61</f>
        <v>Conduction_lat[2][3].Q2in[W]</v>
      </c>
      <c r="CF61" s="15" t="s">
        <v>91</v>
      </c>
      <c r="CG61" s="15" t="s">
        <v>61</v>
      </c>
      <c r="CH61" s="16">
        <f>CB65</f>
        <v>-228.47579587219798</v>
      </c>
      <c r="CI61" s="17"/>
      <c r="CT61" s="30" t="str">
        <f t="shared" si="177"/>
        <v>Conduction_lat[2][4]</v>
      </c>
      <c r="CU61" s="31" t="str">
        <f>CT61&amp;"."&amp;CW61</f>
        <v>Conduction_lat[2][4].Q1in[W]</v>
      </c>
      <c r="CV61" s="15" t="s">
        <v>89</v>
      </c>
      <c r="CW61" s="15" t="s">
        <v>62</v>
      </c>
      <c r="CX61" s="16">
        <f>DD64</f>
        <v>33.496706486056269</v>
      </c>
      <c r="CY61" s="16"/>
      <c r="CZ61" s="31" t="str">
        <f t="shared" si="178"/>
        <v>Conduction_lat[2][4]</v>
      </c>
      <c r="DA61" s="31" t="str">
        <f t="shared" ref="DA61:DA62" si="186">CZ61&amp;"."&amp;DC61</f>
        <v>Conduction_lat[2][4].th[m]</v>
      </c>
      <c r="DB61" s="24" t="s">
        <v>87</v>
      </c>
      <c r="DC61" s="16" t="s">
        <v>52</v>
      </c>
      <c r="DD61" s="41">
        <v>0.1</v>
      </c>
      <c r="DE61" s="16"/>
      <c r="DF61" s="31" t="str">
        <f t="shared" si="179"/>
        <v>Conduction_lat[2][4]</v>
      </c>
      <c r="DG61" s="31" t="str">
        <f>DF61&amp;"."&amp;DI61</f>
        <v>Conduction_lat[2][4].Q2in[W]</v>
      </c>
      <c r="DH61" s="15" t="s">
        <v>91</v>
      </c>
      <c r="DI61" s="15" t="s">
        <v>61</v>
      </c>
      <c r="DJ61" s="16">
        <f>DD65</f>
        <v>-33.496706486056269</v>
      </c>
      <c r="DK61" s="17"/>
      <c r="DV61" s="30" t="str">
        <f t="shared" si="180"/>
        <v>Conduction_lat[2][5]</v>
      </c>
      <c r="DW61" s="31" t="str">
        <f>DV61&amp;"."&amp;DY61</f>
        <v>Conduction_lat[2][5].Q1in[W]</v>
      </c>
      <c r="DX61" s="15" t="s">
        <v>89</v>
      </c>
      <c r="DY61" s="15" t="s">
        <v>62</v>
      </c>
      <c r="DZ61" s="16">
        <f>EF64</f>
        <v>-300</v>
      </c>
      <c r="EA61" s="16"/>
      <c r="EB61" s="31" t="str">
        <f t="shared" si="181"/>
        <v>Conduction_lat[2][5]</v>
      </c>
      <c r="EC61" s="31" t="str">
        <f t="shared" ref="EC61:EC62" si="187">EB61&amp;"."&amp;EE61</f>
        <v>Conduction_lat[2][5].th[m]</v>
      </c>
      <c r="ED61" s="24" t="s">
        <v>87</v>
      </c>
      <c r="EE61" s="16" t="s">
        <v>52</v>
      </c>
      <c r="EF61" s="41">
        <v>0.1</v>
      </c>
      <c r="EG61" s="16"/>
      <c r="EH61" s="31" t="str">
        <f t="shared" si="182"/>
        <v>Conduction_lat[2][5]</v>
      </c>
      <c r="EI61" s="31" t="str">
        <f>EH61&amp;"."&amp;EK61</f>
        <v>Conduction_lat[2][5].Q2in[W]</v>
      </c>
      <c r="EJ61" s="15" t="s">
        <v>91</v>
      </c>
      <c r="EK61" s="15" t="s">
        <v>61</v>
      </c>
      <c r="EL61" s="16">
        <f>EF65</f>
        <v>300</v>
      </c>
      <c r="EM61" s="17"/>
    </row>
    <row r="62" spans="6:159" x14ac:dyDescent="0.35">
      <c r="N62" s="30" t="str">
        <f t="shared" si="168"/>
        <v>Conduction_lat[2][1]</v>
      </c>
      <c r="O62" s="16"/>
      <c r="P62" s="16"/>
      <c r="Q62" s="16"/>
      <c r="R62" s="16"/>
      <c r="S62" s="16"/>
      <c r="T62" s="31" t="str">
        <f t="shared" si="169"/>
        <v>Conduction_lat[2][1]</v>
      </c>
      <c r="U62" s="31" t="str">
        <f t="shared" si="183"/>
        <v>Conduction_lat[2][1].rambda[W/(m*K)]</v>
      </c>
      <c r="V62" s="24" t="s">
        <v>87</v>
      </c>
      <c r="W62" s="16" t="s">
        <v>54</v>
      </c>
      <c r="X62" s="41">
        <v>10</v>
      </c>
      <c r="Y62" s="16"/>
      <c r="Z62" s="31"/>
      <c r="AA62" s="16"/>
      <c r="AB62" s="16"/>
      <c r="AC62" s="16"/>
      <c r="AD62" s="16"/>
      <c r="AE62" s="17"/>
      <c r="AP62" s="30" t="str">
        <f t="shared" si="171"/>
        <v>Conduction_lat[2][2]</v>
      </c>
      <c r="AQ62" s="16"/>
      <c r="AR62" s="16"/>
      <c r="AS62" s="16"/>
      <c r="AT62" s="16"/>
      <c r="AU62" s="16"/>
      <c r="AV62" s="31" t="str">
        <f t="shared" si="172"/>
        <v>Conduction_lat[2][2]</v>
      </c>
      <c r="AW62" s="31" t="str">
        <f t="shared" si="184"/>
        <v>Conduction_lat[2][2].rambda[W/(m*K)]</v>
      </c>
      <c r="AX62" s="24" t="s">
        <v>87</v>
      </c>
      <c r="AY62" s="16" t="s">
        <v>54</v>
      </c>
      <c r="AZ62" s="41">
        <v>10</v>
      </c>
      <c r="BA62" s="16"/>
      <c r="BB62" s="31"/>
      <c r="BC62" s="16"/>
      <c r="BD62" s="16"/>
      <c r="BE62" s="16"/>
      <c r="BF62" s="16"/>
      <c r="BG62" s="17"/>
      <c r="BR62" s="30" t="str">
        <f t="shared" si="174"/>
        <v>Conduction_lat[2][3]</v>
      </c>
      <c r="BS62" s="16"/>
      <c r="BT62" s="16"/>
      <c r="BU62" s="16"/>
      <c r="BV62" s="16"/>
      <c r="BW62" s="16"/>
      <c r="BX62" s="31" t="str">
        <f t="shared" si="175"/>
        <v>Conduction_lat[2][3]</v>
      </c>
      <c r="BY62" s="31" t="str">
        <f t="shared" si="185"/>
        <v>Conduction_lat[2][3].rambda[W/(m*K)]</v>
      </c>
      <c r="BZ62" s="24" t="s">
        <v>87</v>
      </c>
      <c r="CA62" s="16" t="s">
        <v>54</v>
      </c>
      <c r="CB62" s="41">
        <v>10</v>
      </c>
      <c r="CC62" s="16"/>
      <c r="CD62" s="31"/>
      <c r="CE62" s="16"/>
      <c r="CF62" s="16"/>
      <c r="CG62" s="16"/>
      <c r="CH62" s="16"/>
      <c r="CI62" s="17"/>
      <c r="CT62" s="30" t="str">
        <f t="shared" si="177"/>
        <v>Conduction_lat[2][4]</v>
      </c>
      <c r="CU62" s="16"/>
      <c r="CV62" s="16"/>
      <c r="CW62" s="16"/>
      <c r="CX62" s="16"/>
      <c r="CY62" s="16"/>
      <c r="CZ62" s="31" t="str">
        <f t="shared" si="178"/>
        <v>Conduction_lat[2][4]</v>
      </c>
      <c r="DA62" s="31" t="str">
        <f t="shared" si="186"/>
        <v>Conduction_lat[2][4].rambda[W/(m*K)]</v>
      </c>
      <c r="DB62" s="24" t="s">
        <v>87</v>
      </c>
      <c r="DC62" s="16" t="s">
        <v>54</v>
      </c>
      <c r="DD62" s="41">
        <v>10</v>
      </c>
      <c r="DE62" s="16"/>
      <c r="DF62" s="31"/>
      <c r="DG62" s="16"/>
      <c r="DH62" s="16"/>
      <c r="DI62" s="16"/>
      <c r="DJ62" s="16"/>
      <c r="DK62" s="17"/>
      <c r="DV62" s="30" t="str">
        <f t="shared" si="180"/>
        <v>Conduction_lat[2][5]</v>
      </c>
      <c r="DW62" s="16"/>
      <c r="DX62" s="16"/>
      <c r="DY62" s="16"/>
      <c r="DZ62" s="16"/>
      <c r="EA62" s="16"/>
      <c r="EB62" s="31" t="str">
        <f t="shared" si="181"/>
        <v>Conduction_lat[2][5]</v>
      </c>
      <c r="EC62" s="31" t="str">
        <f t="shared" si="187"/>
        <v>Conduction_lat[2][5].rambda[W/(m*K)]</v>
      </c>
      <c r="ED62" s="24" t="s">
        <v>87</v>
      </c>
      <c r="EE62" s="16" t="s">
        <v>54</v>
      </c>
      <c r="EF62" s="41">
        <v>10</v>
      </c>
      <c r="EG62" s="16"/>
      <c r="EH62" s="31"/>
      <c r="EI62" s="16"/>
      <c r="EJ62" s="16"/>
      <c r="EK62" s="16"/>
      <c r="EL62" s="16"/>
      <c r="EM62" s="17"/>
    </row>
    <row r="63" spans="6:159" x14ac:dyDescent="0.35">
      <c r="N63" s="30" t="str">
        <f t="shared" si="168"/>
        <v>Conduction_lat[2][1]</v>
      </c>
      <c r="O63" s="16"/>
      <c r="P63" s="16"/>
      <c r="Q63" s="16"/>
      <c r="R63" s="16"/>
      <c r="S63" s="16"/>
      <c r="T63" s="31" t="str">
        <f t="shared" si="169"/>
        <v>Conduction_lat[2][1]</v>
      </c>
      <c r="U63" s="31"/>
      <c r="V63" s="24"/>
      <c r="W63" s="16"/>
      <c r="X63" s="23"/>
      <c r="Y63" s="16"/>
      <c r="Z63" s="31"/>
      <c r="AA63" s="16"/>
      <c r="AB63" s="16"/>
      <c r="AC63" s="16"/>
      <c r="AD63" s="16"/>
      <c r="AE63" s="17"/>
      <c r="AP63" s="30" t="str">
        <f t="shared" si="171"/>
        <v>Conduction_lat[2][2]</v>
      </c>
      <c r="AQ63" s="16"/>
      <c r="AR63" s="16"/>
      <c r="AS63" s="16"/>
      <c r="AT63" s="16"/>
      <c r="AU63" s="16"/>
      <c r="AV63" s="31" t="str">
        <f t="shared" si="172"/>
        <v>Conduction_lat[2][2]</v>
      </c>
      <c r="AW63" s="31"/>
      <c r="AX63" s="24"/>
      <c r="AY63" s="16"/>
      <c r="AZ63" s="23"/>
      <c r="BA63" s="16"/>
      <c r="BB63" s="31"/>
      <c r="BC63" s="16"/>
      <c r="BD63" s="16"/>
      <c r="BE63" s="16"/>
      <c r="BF63" s="16"/>
      <c r="BG63" s="17"/>
      <c r="BR63" s="30" t="str">
        <f t="shared" si="174"/>
        <v>Conduction_lat[2][3]</v>
      </c>
      <c r="BS63" s="16"/>
      <c r="BT63" s="16"/>
      <c r="BU63" s="16"/>
      <c r="BV63" s="16"/>
      <c r="BW63" s="16"/>
      <c r="BX63" s="31" t="str">
        <f t="shared" si="175"/>
        <v>Conduction_lat[2][3]</v>
      </c>
      <c r="BY63" s="31"/>
      <c r="BZ63" s="24"/>
      <c r="CA63" s="16"/>
      <c r="CB63" s="23"/>
      <c r="CC63" s="16"/>
      <c r="CD63" s="31"/>
      <c r="CE63" s="16"/>
      <c r="CF63" s="16"/>
      <c r="CG63" s="16"/>
      <c r="CH63" s="16"/>
      <c r="CI63" s="17"/>
      <c r="CT63" s="30" t="str">
        <f t="shared" si="177"/>
        <v>Conduction_lat[2][4]</v>
      </c>
      <c r="CU63" s="16"/>
      <c r="CV63" s="16"/>
      <c r="CW63" s="16"/>
      <c r="CX63" s="16"/>
      <c r="CY63" s="16"/>
      <c r="CZ63" s="31" t="str">
        <f t="shared" si="178"/>
        <v>Conduction_lat[2][4]</v>
      </c>
      <c r="DA63" s="31"/>
      <c r="DB63" s="24"/>
      <c r="DC63" s="16"/>
      <c r="DD63" s="23"/>
      <c r="DE63" s="16"/>
      <c r="DF63" s="31"/>
      <c r="DG63" s="16"/>
      <c r="DH63" s="16"/>
      <c r="DI63" s="16"/>
      <c r="DJ63" s="16"/>
      <c r="DK63" s="17"/>
      <c r="DV63" s="30" t="str">
        <f t="shared" si="180"/>
        <v>Conduction_lat[2][5]</v>
      </c>
      <c r="DW63" s="16"/>
      <c r="DX63" s="16"/>
      <c r="DY63" s="16"/>
      <c r="DZ63" s="16"/>
      <c r="EA63" s="16"/>
      <c r="EB63" s="31" t="str">
        <f t="shared" si="181"/>
        <v>Conduction_lat[2][5]</v>
      </c>
      <c r="EC63" s="31"/>
      <c r="ED63" s="24"/>
      <c r="EE63" s="16"/>
      <c r="EF63" s="23"/>
      <c r="EG63" s="16"/>
      <c r="EH63" s="31"/>
      <c r="EI63" s="16"/>
      <c r="EJ63" s="16"/>
      <c r="EK63" s="16"/>
      <c r="EL63" s="16"/>
      <c r="EM63" s="17"/>
    </row>
    <row r="64" spans="6:159" x14ac:dyDescent="0.35">
      <c r="N64" s="30" t="str">
        <f t="shared" si="168"/>
        <v>Conduction_lat[2][1]</v>
      </c>
      <c r="O64" s="16"/>
      <c r="P64" s="16"/>
      <c r="Q64" s="16"/>
      <c r="R64" s="16"/>
      <c r="S64" s="16"/>
      <c r="T64" s="31" t="str">
        <f t="shared" si="169"/>
        <v>Conduction_lat[2][1]</v>
      </c>
      <c r="U64" s="31" t="str">
        <f t="shared" ref="U64:U65" si="188">T64&amp;"."&amp;W64</f>
        <v>Conduction_lat[2][1].Q12[W]</v>
      </c>
      <c r="V64" s="24" t="s">
        <v>89</v>
      </c>
      <c r="W64" s="16" t="s">
        <v>56</v>
      </c>
      <c r="X64" s="23">
        <f>X62*X60/X61*(R60-AD60)</f>
        <v>31.306460927888907</v>
      </c>
      <c r="Y64" s="16"/>
      <c r="Z64" s="31"/>
      <c r="AA64" s="16"/>
      <c r="AB64" s="16"/>
      <c r="AC64" s="16"/>
      <c r="AD64" s="16"/>
      <c r="AE64" s="17"/>
      <c r="AP64" s="30" t="str">
        <f t="shared" si="171"/>
        <v>Conduction_lat[2][2]</v>
      </c>
      <c r="AQ64" s="16"/>
      <c r="AR64" s="16"/>
      <c r="AS64" s="16"/>
      <c r="AT64" s="16"/>
      <c r="AU64" s="16"/>
      <c r="AV64" s="31" t="str">
        <f t="shared" si="172"/>
        <v>Conduction_lat[2][2]</v>
      </c>
      <c r="AW64" s="31" t="str">
        <f t="shared" ref="AW64:AW65" si="189">AV64&amp;"."&amp;AY64</f>
        <v>Conduction_lat[2][2].Q12[W]</v>
      </c>
      <c r="AX64" s="24" t="s">
        <v>89</v>
      </c>
      <c r="AY64" s="16" t="s">
        <v>56</v>
      </c>
      <c r="AZ64" s="23">
        <f>AZ62*AZ60/AZ61*(AT60-BF60)</f>
        <v>-161.82177059531421</v>
      </c>
      <c r="BA64" s="16"/>
      <c r="BB64" s="31"/>
      <c r="BC64" s="16"/>
      <c r="BD64" s="16"/>
      <c r="BE64" s="16"/>
      <c r="BF64" s="16"/>
      <c r="BG64" s="17"/>
      <c r="BR64" s="30" t="str">
        <f t="shared" si="174"/>
        <v>Conduction_lat[2][3]</v>
      </c>
      <c r="BS64" s="16"/>
      <c r="BT64" s="16"/>
      <c r="BU64" s="16"/>
      <c r="BV64" s="16"/>
      <c r="BW64" s="16"/>
      <c r="BX64" s="31" t="str">
        <f t="shared" si="175"/>
        <v>Conduction_lat[2][3]</v>
      </c>
      <c r="BY64" s="31" t="str">
        <f t="shared" ref="BY64:BY65" si="190">BX64&amp;"."&amp;CA64</f>
        <v>Conduction_lat[2][3].Q12[W]</v>
      </c>
      <c r="BZ64" s="24" t="s">
        <v>89</v>
      </c>
      <c r="CA64" s="16" t="s">
        <v>56</v>
      </c>
      <c r="CB64" s="23">
        <f>CB62*CB60/CB61*(BV60-CH60)</f>
        <v>228.47579587219798</v>
      </c>
      <c r="CC64" s="16"/>
      <c r="CD64" s="31"/>
      <c r="CE64" s="16"/>
      <c r="CF64" s="16"/>
      <c r="CG64" s="16"/>
      <c r="CH64" s="16"/>
      <c r="CI64" s="17"/>
      <c r="CT64" s="30" t="str">
        <f t="shared" si="177"/>
        <v>Conduction_lat[2][4]</v>
      </c>
      <c r="CU64" s="16"/>
      <c r="CV64" s="16"/>
      <c r="CW64" s="16"/>
      <c r="CX64" s="16"/>
      <c r="CY64" s="16"/>
      <c r="CZ64" s="31" t="str">
        <f t="shared" si="178"/>
        <v>Conduction_lat[2][4]</v>
      </c>
      <c r="DA64" s="31" t="str">
        <f t="shared" ref="DA64:DA65" si="191">CZ64&amp;"."&amp;DC64</f>
        <v>Conduction_lat[2][4].Q12[W]</v>
      </c>
      <c r="DB64" s="24" t="s">
        <v>89</v>
      </c>
      <c r="DC64" s="16" t="s">
        <v>56</v>
      </c>
      <c r="DD64" s="23">
        <f>DD62*DD60/DD61*(CX60-DJ60)</f>
        <v>33.496706486056269</v>
      </c>
      <c r="DE64" s="16"/>
      <c r="DF64" s="31"/>
      <c r="DG64" s="16"/>
      <c r="DH64" s="16"/>
      <c r="DI64" s="16"/>
      <c r="DJ64" s="16"/>
      <c r="DK64" s="17"/>
      <c r="DV64" s="30" t="str">
        <f t="shared" si="180"/>
        <v>Conduction_lat[2][5]</v>
      </c>
      <c r="DW64" s="16"/>
      <c r="DX64" s="16"/>
      <c r="DY64" s="16"/>
      <c r="DZ64" s="16"/>
      <c r="EA64" s="16"/>
      <c r="EB64" s="31" t="str">
        <f t="shared" si="181"/>
        <v>Conduction_lat[2][5]</v>
      </c>
      <c r="EC64" s="31" t="str">
        <f t="shared" ref="EC64:EC65" si="192">EB64&amp;"."&amp;EE64</f>
        <v>Conduction_lat[2][5].Q12[W]</v>
      </c>
      <c r="ED64" s="24" t="s">
        <v>89</v>
      </c>
      <c r="EE64" s="16" t="s">
        <v>56</v>
      </c>
      <c r="EF64" s="23">
        <f>EF62*EF60/EF61*(DZ60-EL60)</f>
        <v>-300</v>
      </c>
      <c r="EG64" s="16"/>
      <c r="EH64" s="31"/>
      <c r="EI64" s="16"/>
      <c r="EJ64" s="16"/>
      <c r="EK64" s="16"/>
      <c r="EL64" s="16"/>
      <c r="EM64" s="17"/>
    </row>
    <row r="65" spans="6:143" x14ac:dyDescent="0.35">
      <c r="N65" s="30" t="str">
        <f t="shared" si="168"/>
        <v>Conduction_lat[2][1]</v>
      </c>
      <c r="O65" s="16"/>
      <c r="P65" s="16"/>
      <c r="Q65" s="16"/>
      <c r="R65" s="16"/>
      <c r="S65" s="16"/>
      <c r="T65" s="31" t="str">
        <f t="shared" si="169"/>
        <v>Conduction_lat[2][1]</v>
      </c>
      <c r="U65" s="31" t="str">
        <f t="shared" si="188"/>
        <v>Conduction_lat[2][1].Q21[W]</v>
      </c>
      <c r="V65" s="24" t="s">
        <v>89</v>
      </c>
      <c r="W65" s="16" t="s">
        <v>64</v>
      </c>
      <c r="X65" s="23">
        <f>-1*X64</f>
        <v>-31.306460927888907</v>
      </c>
      <c r="Y65" s="16"/>
      <c r="Z65" s="31"/>
      <c r="AA65" s="16"/>
      <c r="AB65" s="16"/>
      <c r="AC65" s="16"/>
      <c r="AD65" s="16"/>
      <c r="AE65" s="17"/>
      <c r="AP65" s="30" t="str">
        <f t="shared" si="171"/>
        <v>Conduction_lat[2][2]</v>
      </c>
      <c r="AQ65" s="16"/>
      <c r="AR65" s="16"/>
      <c r="AS65" s="16"/>
      <c r="AT65" s="16"/>
      <c r="AU65" s="16"/>
      <c r="AV65" s="31" t="str">
        <f t="shared" si="172"/>
        <v>Conduction_lat[2][2]</v>
      </c>
      <c r="AW65" s="31" t="str">
        <f t="shared" si="189"/>
        <v>Conduction_lat[2][2].Q21[W]</v>
      </c>
      <c r="AX65" s="24" t="s">
        <v>89</v>
      </c>
      <c r="AY65" s="16" t="s">
        <v>64</v>
      </c>
      <c r="AZ65" s="23">
        <f>-1*AZ64</f>
        <v>161.82177059531421</v>
      </c>
      <c r="BA65" s="16"/>
      <c r="BB65" s="31"/>
      <c r="BC65" s="16"/>
      <c r="BD65" s="16"/>
      <c r="BE65" s="16"/>
      <c r="BF65" s="16"/>
      <c r="BG65" s="17"/>
      <c r="BR65" s="30" t="str">
        <f t="shared" si="174"/>
        <v>Conduction_lat[2][3]</v>
      </c>
      <c r="BS65" s="16"/>
      <c r="BT65" s="16"/>
      <c r="BU65" s="16"/>
      <c r="BV65" s="16"/>
      <c r="BW65" s="16"/>
      <c r="BX65" s="31" t="str">
        <f t="shared" si="175"/>
        <v>Conduction_lat[2][3]</v>
      </c>
      <c r="BY65" s="31" t="str">
        <f t="shared" si="190"/>
        <v>Conduction_lat[2][3].Q21[W]</v>
      </c>
      <c r="BZ65" s="24" t="s">
        <v>89</v>
      </c>
      <c r="CA65" s="16" t="s">
        <v>64</v>
      </c>
      <c r="CB65" s="23">
        <f>-1*CB64</f>
        <v>-228.47579587219798</v>
      </c>
      <c r="CC65" s="16"/>
      <c r="CD65" s="31"/>
      <c r="CE65" s="16"/>
      <c r="CF65" s="16"/>
      <c r="CG65" s="16"/>
      <c r="CH65" s="16"/>
      <c r="CI65" s="17"/>
      <c r="CT65" s="30" t="str">
        <f t="shared" si="177"/>
        <v>Conduction_lat[2][4]</v>
      </c>
      <c r="CU65" s="16"/>
      <c r="CV65" s="16"/>
      <c r="CW65" s="16"/>
      <c r="CX65" s="16"/>
      <c r="CY65" s="16"/>
      <c r="CZ65" s="31" t="str">
        <f t="shared" si="178"/>
        <v>Conduction_lat[2][4]</v>
      </c>
      <c r="DA65" s="31" t="str">
        <f t="shared" si="191"/>
        <v>Conduction_lat[2][4].Q21[W]</v>
      </c>
      <c r="DB65" s="24" t="s">
        <v>89</v>
      </c>
      <c r="DC65" s="16" t="s">
        <v>64</v>
      </c>
      <c r="DD65" s="23">
        <f>-1*DD64</f>
        <v>-33.496706486056269</v>
      </c>
      <c r="DE65" s="16"/>
      <c r="DF65" s="31"/>
      <c r="DG65" s="16"/>
      <c r="DH65" s="16"/>
      <c r="DI65" s="16"/>
      <c r="DJ65" s="16"/>
      <c r="DK65" s="17"/>
      <c r="DV65" s="30" t="str">
        <f t="shared" si="180"/>
        <v>Conduction_lat[2][5]</v>
      </c>
      <c r="DW65" s="16"/>
      <c r="DX65" s="16"/>
      <c r="DY65" s="16"/>
      <c r="DZ65" s="16"/>
      <c r="EA65" s="16"/>
      <c r="EB65" s="31" t="str">
        <f t="shared" si="181"/>
        <v>Conduction_lat[2][5]</v>
      </c>
      <c r="EC65" s="31" t="str">
        <f t="shared" si="192"/>
        <v>Conduction_lat[2][5].Q21[W]</v>
      </c>
      <c r="ED65" s="24" t="s">
        <v>89</v>
      </c>
      <c r="EE65" s="16" t="s">
        <v>64</v>
      </c>
      <c r="EF65" s="23">
        <f>-1*EF64</f>
        <v>300</v>
      </c>
      <c r="EG65" s="16"/>
      <c r="EH65" s="31"/>
      <c r="EI65" s="16"/>
      <c r="EJ65" s="16"/>
      <c r="EK65" s="16"/>
      <c r="EL65" s="16"/>
      <c r="EM65" s="17"/>
    </row>
    <row r="66" spans="6:143" x14ac:dyDescent="0.35">
      <c r="N66" s="30" t="str">
        <f t="shared" si="168"/>
        <v>Conduction_lat[2][1]</v>
      </c>
      <c r="O66" s="16"/>
      <c r="P66" s="16"/>
      <c r="Q66" s="16"/>
      <c r="R66" s="16"/>
      <c r="S66" s="16"/>
      <c r="T66" s="31" t="str">
        <f t="shared" si="169"/>
        <v>Conduction_lat[2][1]</v>
      </c>
      <c r="U66" s="31"/>
      <c r="V66" s="32"/>
      <c r="W66" s="33"/>
      <c r="X66" s="27"/>
      <c r="Y66" s="16"/>
      <c r="Z66" s="31"/>
      <c r="AA66" s="16"/>
      <c r="AB66" s="16"/>
      <c r="AC66" s="16"/>
      <c r="AD66" s="16"/>
      <c r="AE66" s="17"/>
      <c r="AP66" s="30" t="str">
        <f t="shared" si="171"/>
        <v>Conduction_lat[2][2]</v>
      </c>
      <c r="AQ66" s="16"/>
      <c r="AR66" s="16"/>
      <c r="AS66" s="16"/>
      <c r="AT66" s="16"/>
      <c r="AU66" s="16"/>
      <c r="AV66" s="31" t="str">
        <f t="shared" si="172"/>
        <v>Conduction_lat[2][2]</v>
      </c>
      <c r="AW66" s="31"/>
      <c r="AX66" s="32"/>
      <c r="AY66" s="33"/>
      <c r="AZ66" s="27"/>
      <c r="BA66" s="16"/>
      <c r="BB66" s="31"/>
      <c r="BC66" s="16"/>
      <c r="BD66" s="16"/>
      <c r="BE66" s="16"/>
      <c r="BF66" s="16"/>
      <c r="BG66" s="17"/>
      <c r="BR66" s="30" t="str">
        <f t="shared" si="174"/>
        <v>Conduction_lat[2][3]</v>
      </c>
      <c r="BS66" s="16"/>
      <c r="BT66" s="16"/>
      <c r="BU66" s="16"/>
      <c r="BV66" s="16"/>
      <c r="BW66" s="16"/>
      <c r="BX66" s="31" t="str">
        <f t="shared" si="175"/>
        <v>Conduction_lat[2][3]</v>
      </c>
      <c r="BY66" s="31"/>
      <c r="BZ66" s="32"/>
      <c r="CA66" s="33"/>
      <c r="CB66" s="27"/>
      <c r="CC66" s="16"/>
      <c r="CD66" s="31"/>
      <c r="CE66" s="16"/>
      <c r="CF66" s="16"/>
      <c r="CG66" s="16"/>
      <c r="CH66" s="16"/>
      <c r="CI66" s="17"/>
      <c r="CT66" s="30" t="str">
        <f t="shared" si="177"/>
        <v>Conduction_lat[2][4]</v>
      </c>
      <c r="CU66" s="16"/>
      <c r="CV66" s="16"/>
      <c r="CW66" s="16"/>
      <c r="CX66" s="16"/>
      <c r="CY66" s="16"/>
      <c r="CZ66" s="31" t="str">
        <f t="shared" si="178"/>
        <v>Conduction_lat[2][4]</v>
      </c>
      <c r="DA66" s="31"/>
      <c r="DB66" s="32"/>
      <c r="DC66" s="33"/>
      <c r="DD66" s="27"/>
      <c r="DE66" s="16"/>
      <c r="DF66" s="31"/>
      <c r="DG66" s="16"/>
      <c r="DH66" s="16"/>
      <c r="DI66" s="16"/>
      <c r="DJ66" s="16"/>
      <c r="DK66" s="17"/>
      <c r="DV66" s="30" t="str">
        <f t="shared" si="180"/>
        <v>Conduction_lat[2][5]</v>
      </c>
      <c r="DW66" s="16"/>
      <c r="DX66" s="16"/>
      <c r="DY66" s="16"/>
      <c r="DZ66" s="16"/>
      <c r="EA66" s="16"/>
      <c r="EB66" s="31" t="str">
        <f t="shared" si="181"/>
        <v>Conduction_lat[2][5]</v>
      </c>
      <c r="EC66" s="31"/>
      <c r="ED66" s="32"/>
      <c r="EE66" s="33"/>
      <c r="EF66" s="27"/>
      <c r="EG66" s="16"/>
      <c r="EH66" s="31"/>
      <c r="EI66" s="16"/>
      <c r="EJ66" s="16"/>
      <c r="EK66" s="16"/>
      <c r="EL66" s="16"/>
      <c r="EM66" s="17"/>
    </row>
    <row r="67" spans="6:143" ht="17.25" thickBot="1" x14ac:dyDescent="0.4">
      <c r="N67" s="37" t="s">
        <v>69</v>
      </c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39" t="s">
        <v>69</v>
      </c>
      <c r="AP67" s="37" t="s">
        <v>69</v>
      </c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39" t="s">
        <v>69</v>
      </c>
      <c r="BR67" s="37" t="s">
        <v>69</v>
      </c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39" t="s">
        <v>69</v>
      </c>
      <c r="CT67" s="37" t="s">
        <v>69</v>
      </c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39" t="s">
        <v>69</v>
      </c>
      <c r="DV67" s="37" t="s">
        <v>69</v>
      </c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39" t="s">
        <v>69</v>
      </c>
    </row>
    <row r="69" spans="6:143" ht="17.25" thickBot="1" x14ac:dyDescent="0.4"/>
    <row r="70" spans="6:143" x14ac:dyDescent="0.35">
      <c r="F70" s="12" t="s">
        <v>82</v>
      </c>
      <c r="G70" s="13"/>
      <c r="H70" s="14"/>
      <c r="I70" s="14"/>
      <c r="J70" s="14"/>
      <c r="K70" s="38" t="s">
        <v>69</v>
      </c>
      <c r="AH70" s="12" t="s">
        <v>136</v>
      </c>
      <c r="AI70" s="13"/>
      <c r="AJ70" s="14"/>
      <c r="AK70" s="14"/>
      <c r="AL70" s="14"/>
      <c r="AM70" s="38" t="s">
        <v>69</v>
      </c>
      <c r="BJ70" s="12" t="s">
        <v>137</v>
      </c>
      <c r="BK70" s="13"/>
      <c r="BL70" s="14"/>
      <c r="BM70" s="14"/>
      <c r="BN70" s="14"/>
      <c r="BO70" s="38" t="s">
        <v>69</v>
      </c>
      <c r="CL70" s="12" t="s">
        <v>138</v>
      </c>
      <c r="CM70" s="13"/>
      <c r="CN70" s="14"/>
      <c r="CO70" s="14"/>
      <c r="CP70" s="14"/>
      <c r="CQ70" s="38" t="s">
        <v>69</v>
      </c>
      <c r="DN70" s="12" t="s">
        <v>139</v>
      </c>
      <c r="DO70" s="13"/>
      <c r="DP70" s="14"/>
      <c r="DQ70" s="14"/>
      <c r="DR70" s="14"/>
      <c r="DS70" s="38" t="s">
        <v>69</v>
      </c>
    </row>
    <row r="71" spans="6:143" x14ac:dyDescent="0.35">
      <c r="F71" s="30" t="str">
        <f>F70</f>
        <v>Conduction_longi[3][1]</v>
      </c>
      <c r="G71" s="31" t="str">
        <f>F71&amp;"."&amp;I71</f>
        <v>Conduction_longi[3][1].Q1in[W]</v>
      </c>
      <c r="H71" s="15" t="s">
        <v>89</v>
      </c>
      <c r="I71" s="15" t="s">
        <v>62</v>
      </c>
      <c r="J71" s="29">
        <f>J79</f>
        <v>49957.50993645464</v>
      </c>
      <c r="K71" s="17"/>
      <c r="AH71" s="30" t="str">
        <f>AH70</f>
        <v>Conduction_longi[3][2]</v>
      </c>
      <c r="AI71" s="31" t="str">
        <f>AH71&amp;"."&amp;AK71</f>
        <v>Conduction_longi[3][2].Q1in[W]</v>
      </c>
      <c r="AJ71" s="15" t="s">
        <v>89</v>
      </c>
      <c r="AK71" s="15" t="s">
        <v>62</v>
      </c>
      <c r="AL71" s="29">
        <f>AL79</f>
        <v>46826.863843665749</v>
      </c>
      <c r="AM71" s="17"/>
      <c r="BJ71" s="30" t="str">
        <f>BJ70</f>
        <v>Conduction_longi[3][3]</v>
      </c>
      <c r="BK71" s="31" t="str">
        <f>BJ71&amp;"."&amp;BM71</f>
        <v>Conduction_longi[3][3].Q1in[W]</v>
      </c>
      <c r="BL71" s="15" t="s">
        <v>89</v>
      </c>
      <c r="BM71" s="15" t="s">
        <v>62</v>
      </c>
      <c r="BN71" s="29">
        <f>BN79</f>
        <v>33009.040903197172</v>
      </c>
      <c r="BO71" s="17"/>
      <c r="CL71" s="30" t="str">
        <f>CL70</f>
        <v>Conduction_longi[3][4]</v>
      </c>
      <c r="CM71" s="31" t="str">
        <f>CL71&amp;"."&amp;CO71</f>
        <v>Conduction_longi[3][4].Q1in[W]</v>
      </c>
      <c r="CN71" s="15" t="s">
        <v>89</v>
      </c>
      <c r="CO71" s="15" t="s">
        <v>62</v>
      </c>
      <c r="CP71" s="29">
        <f>CP79</f>
        <v>40161.461315977373</v>
      </c>
      <c r="CQ71" s="17"/>
      <c r="DN71" s="30" t="str">
        <f>DN70</f>
        <v>Conduction_longi[3][5]</v>
      </c>
      <c r="DO71" s="31" t="str">
        <f>DN71&amp;"."&amp;DQ71</f>
        <v>Conduction_longi[3][5].Q1in[W]</v>
      </c>
      <c r="DP71" s="15" t="s">
        <v>89</v>
      </c>
      <c r="DQ71" s="15" t="s">
        <v>62</v>
      </c>
      <c r="DR71" s="29">
        <f>DR79</f>
        <v>36811.790667371744</v>
      </c>
      <c r="DS71" s="17"/>
    </row>
    <row r="72" spans="6:143" x14ac:dyDescent="0.35">
      <c r="F72" s="30" t="str">
        <f t="shared" ref="F72:F84" si="193">F71</f>
        <v>Conduction_longi[3][1]</v>
      </c>
      <c r="G72" s="31" t="str">
        <f>F72&amp;"."&amp;I72</f>
        <v>Conduction_longi[3][1].T1[K]</v>
      </c>
      <c r="H72" s="15" t="s">
        <v>87</v>
      </c>
      <c r="I72" s="15" t="s">
        <v>58</v>
      </c>
      <c r="J72" s="28">
        <f>J59</f>
        <v>799.57509936454642</v>
      </c>
      <c r="K72" s="17"/>
      <c r="AH72" s="30" t="str">
        <f t="shared" ref="AH72:AH84" si="194">AH71</f>
        <v>Conduction_longi[3][2]</v>
      </c>
      <c r="AI72" s="31" t="str">
        <f>AH72&amp;"."&amp;AK72</f>
        <v>Conduction_longi[3][2].T1[K]</v>
      </c>
      <c r="AJ72" s="15" t="s">
        <v>87</v>
      </c>
      <c r="AK72" s="15" t="s">
        <v>58</v>
      </c>
      <c r="AL72" s="28">
        <f>AL59</f>
        <v>768.26863843665751</v>
      </c>
      <c r="AM72" s="17"/>
      <c r="BJ72" s="30" t="str">
        <f t="shared" ref="BJ72:BJ84" si="195">BJ71</f>
        <v>Conduction_longi[3][3]</v>
      </c>
      <c r="BK72" s="31" t="str">
        <f>BJ72&amp;"."&amp;BM72</f>
        <v>Conduction_longi[3][3].T1[K]</v>
      </c>
      <c r="BL72" s="15" t="s">
        <v>87</v>
      </c>
      <c r="BM72" s="15" t="s">
        <v>58</v>
      </c>
      <c r="BN72" s="28">
        <f>BN59</f>
        <v>930.09040903197172</v>
      </c>
      <c r="BO72" s="17"/>
      <c r="CL72" s="30" t="str">
        <f t="shared" ref="CL72:CL84" si="196">CL71</f>
        <v>Conduction_longi[3][4]</v>
      </c>
      <c r="CM72" s="31" t="str">
        <f>CL72&amp;"."&amp;CO72</f>
        <v>Conduction_longi[3][4].T1[K]</v>
      </c>
      <c r="CN72" s="15" t="s">
        <v>87</v>
      </c>
      <c r="CO72" s="15" t="s">
        <v>58</v>
      </c>
      <c r="CP72" s="28">
        <f>CP59</f>
        <v>701.61461315977374</v>
      </c>
      <c r="CQ72" s="17"/>
      <c r="DN72" s="30" t="str">
        <f t="shared" ref="DN72:DN84" si="197">DN71</f>
        <v>Conduction_longi[3][5]</v>
      </c>
      <c r="DO72" s="31" t="str">
        <f>DN72&amp;"."&amp;DQ72</f>
        <v>Conduction_longi[3][5].T1[K]</v>
      </c>
      <c r="DP72" s="15" t="s">
        <v>87</v>
      </c>
      <c r="DQ72" s="15" t="s">
        <v>58</v>
      </c>
      <c r="DR72" s="28">
        <f>DR59</f>
        <v>668.11790667371747</v>
      </c>
      <c r="DS72" s="17"/>
    </row>
    <row r="73" spans="6:143" x14ac:dyDescent="0.35">
      <c r="F73" s="30" t="str">
        <f t="shared" si="193"/>
        <v>Conduction_longi[3][1]</v>
      </c>
      <c r="G73" s="31"/>
      <c r="H73" s="16"/>
      <c r="I73" s="16"/>
      <c r="J73" s="16"/>
      <c r="K73" s="17"/>
      <c r="AH73" s="30" t="str">
        <f t="shared" si="194"/>
        <v>Conduction_longi[3][2]</v>
      </c>
      <c r="AI73" s="31"/>
      <c r="AJ73" s="16"/>
      <c r="AK73" s="16"/>
      <c r="AL73" s="16"/>
      <c r="AM73" s="17"/>
      <c r="BJ73" s="30" t="str">
        <f t="shared" si="195"/>
        <v>Conduction_longi[3][3]</v>
      </c>
      <c r="BK73" s="31"/>
      <c r="BL73" s="16"/>
      <c r="BM73" s="16"/>
      <c r="BN73" s="16"/>
      <c r="BO73" s="17"/>
      <c r="CL73" s="30" t="str">
        <f t="shared" si="196"/>
        <v>Conduction_longi[3][4]</v>
      </c>
      <c r="CM73" s="31"/>
      <c r="CN73" s="16"/>
      <c r="CO73" s="16"/>
      <c r="CP73" s="16"/>
      <c r="CQ73" s="17"/>
      <c r="DN73" s="30" t="str">
        <f t="shared" si="197"/>
        <v>Conduction_longi[3][5]</v>
      </c>
      <c r="DO73" s="31"/>
      <c r="DP73" s="16"/>
      <c r="DQ73" s="16"/>
      <c r="DR73" s="16"/>
      <c r="DS73" s="17"/>
    </row>
    <row r="74" spans="6:143" x14ac:dyDescent="0.35">
      <c r="F74" s="30" t="str">
        <f t="shared" si="193"/>
        <v>Conduction_longi[3][1]</v>
      </c>
      <c r="G74" s="31"/>
      <c r="H74" s="19"/>
      <c r="I74" s="20"/>
      <c r="J74" s="21"/>
      <c r="K74" s="17"/>
      <c r="AH74" s="30" t="str">
        <f t="shared" si="194"/>
        <v>Conduction_longi[3][2]</v>
      </c>
      <c r="AI74" s="31"/>
      <c r="AJ74" s="19"/>
      <c r="AK74" s="20"/>
      <c r="AL74" s="21"/>
      <c r="AM74" s="17"/>
      <c r="BJ74" s="30" t="str">
        <f t="shared" si="195"/>
        <v>Conduction_longi[3][3]</v>
      </c>
      <c r="BK74" s="31"/>
      <c r="BL74" s="19"/>
      <c r="BM74" s="20"/>
      <c r="BN74" s="21"/>
      <c r="BO74" s="17"/>
      <c r="CL74" s="30" t="str">
        <f t="shared" si="196"/>
        <v>Conduction_longi[3][4]</v>
      </c>
      <c r="CM74" s="31"/>
      <c r="CN74" s="19"/>
      <c r="CO74" s="20"/>
      <c r="CP74" s="21"/>
      <c r="CQ74" s="17"/>
      <c r="DN74" s="30" t="str">
        <f t="shared" si="197"/>
        <v>Conduction_longi[3][5]</v>
      </c>
      <c r="DO74" s="31"/>
      <c r="DP74" s="19"/>
      <c r="DQ74" s="20"/>
      <c r="DR74" s="21"/>
      <c r="DS74" s="17"/>
    </row>
    <row r="75" spans="6:143" x14ac:dyDescent="0.35">
      <c r="F75" s="30" t="str">
        <f t="shared" si="193"/>
        <v>Conduction_longi[3][1]</v>
      </c>
      <c r="G75" s="31" t="str">
        <f>F75&amp;"."&amp;I75</f>
        <v>Conduction_longi[3][1].A[m2]</v>
      </c>
      <c r="H75" s="22" t="s">
        <v>87</v>
      </c>
      <c r="I75" s="15" t="s">
        <v>51</v>
      </c>
      <c r="J75" s="41">
        <v>0.1</v>
      </c>
      <c r="K75" s="17"/>
      <c r="AH75" s="30" t="str">
        <f t="shared" si="194"/>
        <v>Conduction_longi[3][2]</v>
      </c>
      <c r="AI75" s="31" t="str">
        <f>AH75&amp;"."&amp;AK75</f>
        <v>Conduction_longi[3][2].A[m2]</v>
      </c>
      <c r="AJ75" s="22" t="s">
        <v>87</v>
      </c>
      <c r="AK75" s="15" t="s">
        <v>51</v>
      </c>
      <c r="AL75" s="41">
        <v>0.1</v>
      </c>
      <c r="AM75" s="17"/>
      <c r="BJ75" s="30" t="str">
        <f t="shared" si="195"/>
        <v>Conduction_longi[3][3]</v>
      </c>
      <c r="BK75" s="31" t="str">
        <f>BJ75&amp;"."&amp;BM75</f>
        <v>Conduction_longi[3][3].A[m2]</v>
      </c>
      <c r="BL75" s="22" t="s">
        <v>87</v>
      </c>
      <c r="BM75" s="15" t="s">
        <v>51</v>
      </c>
      <c r="BN75" s="41">
        <v>0.1</v>
      </c>
      <c r="BO75" s="17"/>
      <c r="CL75" s="30" t="str">
        <f t="shared" si="196"/>
        <v>Conduction_longi[3][4]</v>
      </c>
      <c r="CM75" s="31" t="str">
        <f>CL75&amp;"."&amp;CO75</f>
        <v>Conduction_longi[3][4].A[m2]</v>
      </c>
      <c r="CN75" s="22" t="s">
        <v>87</v>
      </c>
      <c r="CO75" s="15" t="s">
        <v>51</v>
      </c>
      <c r="CP75" s="41">
        <v>0.1</v>
      </c>
      <c r="CQ75" s="17"/>
      <c r="DN75" s="30" t="str">
        <f t="shared" si="197"/>
        <v>Conduction_longi[3][5]</v>
      </c>
      <c r="DO75" s="31" t="str">
        <f>DN75&amp;"."&amp;DQ75</f>
        <v>Conduction_longi[3][5].A[m2]</v>
      </c>
      <c r="DP75" s="22" t="s">
        <v>87</v>
      </c>
      <c r="DQ75" s="15" t="s">
        <v>51</v>
      </c>
      <c r="DR75" s="41">
        <v>0.1</v>
      </c>
      <c r="DS75" s="17"/>
    </row>
    <row r="76" spans="6:143" x14ac:dyDescent="0.35">
      <c r="F76" s="30" t="str">
        <f t="shared" si="193"/>
        <v>Conduction_longi[3][1]</v>
      </c>
      <c r="G76" s="31" t="str">
        <f>F76&amp;"."&amp;I76</f>
        <v>Conduction_longi[3][1].th[m]</v>
      </c>
      <c r="H76" s="22" t="s">
        <v>87</v>
      </c>
      <c r="I76" s="15" t="s">
        <v>53</v>
      </c>
      <c r="J76" s="41">
        <v>0.01</v>
      </c>
      <c r="K76" s="17"/>
      <c r="AH76" s="30" t="str">
        <f t="shared" si="194"/>
        <v>Conduction_longi[3][2]</v>
      </c>
      <c r="AI76" s="31" t="str">
        <f>AH76&amp;"."&amp;AK76</f>
        <v>Conduction_longi[3][2].th[m]</v>
      </c>
      <c r="AJ76" s="22" t="s">
        <v>87</v>
      </c>
      <c r="AK76" s="15" t="s">
        <v>53</v>
      </c>
      <c r="AL76" s="41">
        <v>0.01</v>
      </c>
      <c r="AM76" s="17"/>
      <c r="BJ76" s="30" t="str">
        <f t="shared" si="195"/>
        <v>Conduction_longi[3][3]</v>
      </c>
      <c r="BK76" s="31" t="str">
        <f>BJ76&amp;"."&amp;BM76</f>
        <v>Conduction_longi[3][3].th[m]</v>
      </c>
      <c r="BL76" s="22" t="s">
        <v>87</v>
      </c>
      <c r="BM76" s="15" t="s">
        <v>53</v>
      </c>
      <c r="BN76" s="41">
        <v>0.01</v>
      </c>
      <c r="BO76" s="17"/>
      <c r="CL76" s="30" t="str">
        <f t="shared" si="196"/>
        <v>Conduction_longi[3][4]</v>
      </c>
      <c r="CM76" s="31" t="str">
        <f>CL76&amp;"."&amp;CO76</f>
        <v>Conduction_longi[3][4].th[m]</v>
      </c>
      <c r="CN76" s="22" t="s">
        <v>87</v>
      </c>
      <c r="CO76" s="15" t="s">
        <v>53</v>
      </c>
      <c r="CP76" s="41">
        <v>0.01</v>
      </c>
      <c r="CQ76" s="17"/>
      <c r="DN76" s="30" t="str">
        <f t="shared" si="197"/>
        <v>Conduction_longi[3][5]</v>
      </c>
      <c r="DO76" s="31" t="str">
        <f>DN76&amp;"."&amp;DQ76</f>
        <v>Conduction_longi[3][5].th[m]</v>
      </c>
      <c r="DP76" s="22" t="s">
        <v>87</v>
      </c>
      <c r="DQ76" s="15" t="s">
        <v>53</v>
      </c>
      <c r="DR76" s="41">
        <v>0.01</v>
      </c>
      <c r="DS76" s="17"/>
    </row>
    <row r="77" spans="6:143" x14ac:dyDescent="0.35">
      <c r="F77" s="30" t="str">
        <f t="shared" si="193"/>
        <v>Conduction_longi[3][1]</v>
      </c>
      <c r="G77" s="31" t="str">
        <f>F77&amp;"."&amp;I77</f>
        <v>Conduction_longi[3][1].rambda[W/(m*K)]</v>
      </c>
      <c r="H77" s="22" t="s">
        <v>87</v>
      </c>
      <c r="I77" s="15" t="s">
        <v>55</v>
      </c>
      <c r="J77" s="41">
        <v>10</v>
      </c>
      <c r="K77" s="17"/>
      <c r="AH77" s="30" t="str">
        <f t="shared" si="194"/>
        <v>Conduction_longi[3][2]</v>
      </c>
      <c r="AI77" s="31" t="str">
        <f>AH77&amp;"."&amp;AK77</f>
        <v>Conduction_longi[3][2].rambda[W/(m*K)]</v>
      </c>
      <c r="AJ77" s="22" t="s">
        <v>87</v>
      </c>
      <c r="AK77" s="15" t="s">
        <v>55</v>
      </c>
      <c r="AL77" s="41">
        <v>10</v>
      </c>
      <c r="AM77" s="17"/>
      <c r="BJ77" s="30" t="str">
        <f t="shared" si="195"/>
        <v>Conduction_longi[3][3]</v>
      </c>
      <c r="BK77" s="31" t="str">
        <f>BJ77&amp;"."&amp;BM77</f>
        <v>Conduction_longi[3][3].rambda[W/(m*K)]</v>
      </c>
      <c r="BL77" s="22" t="s">
        <v>87</v>
      </c>
      <c r="BM77" s="15" t="s">
        <v>55</v>
      </c>
      <c r="BN77" s="41">
        <v>10</v>
      </c>
      <c r="BO77" s="17"/>
      <c r="CL77" s="30" t="str">
        <f t="shared" si="196"/>
        <v>Conduction_longi[3][4]</v>
      </c>
      <c r="CM77" s="31" t="str">
        <f>CL77&amp;"."&amp;CO77</f>
        <v>Conduction_longi[3][4].rambda[W/(m*K)]</v>
      </c>
      <c r="CN77" s="22" t="s">
        <v>87</v>
      </c>
      <c r="CO77" s="15" t="s">
        <v>55</v>
      </c>
      <c r="CP77" s="41">
        <v>10</v>
      </c>
      <c r="CQ77" s="17"/>
      <c r="DN77" s="30" t="str">
        <f t="shared" si="197"/>
        <v>Conduction_longi[3][5]</v>
      </c>
      <c r="DO77" s="31" t="str">
        <f>DN77&amp;"."&amp;DQ77</f>
        <v>Conduction_longi[3][5].rambda[W/(m*K)]</v>
      </c>
      <c r="DP77" s="22" t="s">
        <v>87</v>
      </c>
      <c r="DQ77" s="15" t="s">
        <v>55</v>
      </c>
      <c r="DR77" s="41">
        <v>10</v>
      </c>
      <c r="DS77" s="17"/>
    </row>
    <row r="78" spans="6:143" x14ac:dyDescent="0.35">
      <c r="F78" s="30" t="str">
        <f t="shared" si="193"/>
        <v>Conduction_longi[3][1]</v>
      </c>
      <c r="G78" s="31"/>
      <c r="H78" s="24"/>
      <c r="I78" s="16"/>
      <c r="J78" s="23"/>
      <c r="K78" s="17"/>
      <c r="AH78" s="30" t="str">
        <f t="shared" si="194"/>
        <v>Conduction_longi[3][2]</v>
      </c>
      <c r="AI78" s="31"/>
      <c r="AJ78" s="24"/>
      <c r="AK78" s="16"/>
      <c r="AL78" s="23"/>
      <c r="AM78" s="17"/>
      <c r="BJ78" s="30" t="str">
        <f t="shared" si="195"/>
        <v>Conduction_longi[3][3]</v>
      </c>
      <c r="BK78" s="31"/>
      <c r="BL78" s="24"/>
      <c r="BM78" s="16"/>
      <c r="BN78" s="23"/>
      <c r="BO78" s="17"/>
      <c r="CL78" s="30" t="str">
        <f t="shared" si="196"/>
        <v>Conduction_longi[3][4]</v>
      </c>
      <c r="CM78" s="31"/>
      <c r="CN78" s="24"/>
      <c r="CO78" s="16"/>
      <c r="CP78" s="23"/>
      <c r="CQ78" s="17"/>
      <c r="DN78" s="30" t="str">
        <f t="shared" si="197"/>
        <v>Conduction_longi[3][5]</v>
      </c>
      <c r="DO78" s="31"/>
      <c r="DP78" s="24"/>
      <c r="DQ78" s="16"/>
      <c r="DR78" s="23"/>
      <c r="DS78" s="17"/>
    </row>
    <row r="79" spans="6:143" x14ac:dyDescent="0.35">
      <c r="F79" s="30" t="str">
        <f t="shared" si="193"/>
        <v>Conduction_longi[3][1]</v>
      </c>
      <c r="G79" s="31"/>
      <c r="H79" s="22" t="s">
        <v>89</v>
      </c>
      <c r="I79" s="15" t="s">
        <v>57</v>
      </c>
      <c r="J79" s="23">
        <f>J77*J75/J76*(J72-J83)</f>
        <v>49957.50993645464</v>
      </c>
      <c r="K79" s="17"/>
      <c r="AH79" s="30" t="str">
        <f t="shared" si="194"/>
        <v>Conduction_longi[3][2]</v>
      </c>
      <c r="AI79" s="31"/>
      <c r="AJ79" s="22" t="s">
        <v>89</v>
      </c>
      <c r="AK79" s="15" t="s">
        <v>57</v>
      </c>
      <c r="AL79" s="23">
        <f>AL77*AL75/AL76*(AL72-AL83)</f>
        <v>46826.863843665749</v>
      </c>
      <c r="AM79" s="17"/>
      <c r="BJ79" s="30" t="str">
        <f t="shared" si="195"/>
        <v>Conduction_longi[3][3]</v>
      </c>
      <c r="BK79" s="31"/>
      <c r="BL79" s="22" t="s">
        <v>89</v>
      </c>
      <c r="BM79" s="15" t="s">
        <v>57</v>
      </c>
      <c r="BN79" s="23">
        <f>BN77*BN75/BN76*(BN72-BN83)</f>
        <v>33009.040903197172</v>
      </c>
      <c r="BO79" s="17"/>
      <c r="CL79" s="30" t="str">
        <f t="shared" si="196"/>
        <v>Conduction_longi[3][4]</v>
      </c>
      <c r="CM79" s="31"/>
      <c r="CN79" s="22" t="s">
        <v>89</v>
      </c>
      <c r="CO79" s="15" t="s">
        <v>57</v>
      </c>
      <c r="CP79" s="23">
        <f>CP77*CP75/CP76*(CP72-CP83)</f>
        <v>40161.461315977373</v>
      </c>
      <c r="CQ79" s="17"/>
      <c r="DN79" s="30" t="str">
        <f t="shared" si="197"/>
        <v>Conduction_longi[3][5]</v>
      </c>
      <c r="DO79" s="31"/>
      <c r="DP79" s="22" t="s">
        <v>89</v>
      </c>
      <c r="DQ79" s="15" t="s">
        <v>57</v>
      </c>
      <c r="DR79" s="23">
        <f>DR77*DR75/DR76*(DR72-DR83)</f>
        <v>36811.790667371744</v>
      </c>
      <c r="DS79" s="17"/>
    </row>
    <row r="80" spans="6:143" x14ac:dyDescent="0.35">
      <c r="F80" s="30" t="str">
        <f t="shared" si="193"/>
        <v>Conduction_longi[3][1]</v>
      </c>
      <c r="G80" s="31"/>
      <c r="H80" s="22" t="s">
        <v>89</v>
      </c>
      <c r="I80" s="15" t="s">
        <v>60</v>
      </c>
      <c r="J80" s="23">
        <f>-1*J79</f>
        <v>-49957.50993645464</v>
      </c>
      <c r="K80" s="17"/>
      <c r="AH80" s="30" t="str">
        <f t="shared" si="194"/>
        <v>Conduction_longi[3][2]</v>
      </c>
      <c r="AI80" s="31"/>
      <c r="AJ80" s="22" t="s">
        <v>89</v>
      </c>
      <c r="AK80" s="15" t="s">
        <v>60</v>
      </c>
      <c r="AL80" s="23">
        <f>-1*AL79</f>
        <v>-46826.863843665749</v>
      </c>
      <c r="AM80" s="17"/>
      <c r="BJ80" s="30" t="str">
        <f t="shared" si="195"/>
        <v>Conduction_longi[3][3]</v>
      </c>
      <c r="BK80" s="31"/>
      <c r="BL80" s="22" t="s">
        <v>89</v>
      </c>
      <c r="BM80" s="15" t="s">
        <v>60</v>
      </c>
      <c r="BN80" s="23">
        <f>-1*BN79</f>
        <v>-33009.040903197172</v>
      </c>
      <c r="BO80" s="17"/>
      <c r="CL80" s="30" t="str">
        <f t="shared" si="196"/>
        <v>Conduction_longi[3][4]</v>
      </c>
      <c r="CM80" s="31"/>
      <c r="CN80" s="22" t="s">
        <v>89</v>
      </c>
      <c r="CO80" s="15" t="s">
        <v>60</v>
      </c>
      <c r="CP80" s="23">
        <f>-1*CP79</f>
        <v>-40161.461315977373</v>
      </c>
      <c r="CQ80" s="17"/>
      <c r="DN80" s="30" t="str">
        <f t="shared" si="197"/>
        <v>Conduction_longi[3][5]</v>
      </c>
      <c r="DO80" s="31"/>
      <c r="DP80" s="22" t="s">
        <v>89</v>
      </c>
      <c r="DQ80" s="15" t="s">
        <v>60</v>
      </c>
      <c r="DR80" s="23">
        <f>-1*DR79</f>
        <v>-36811.790667371744</v>
      </c>
      <c r="DS80" s="17"/>
    </row>
    <row r="81" spans="6:123" x14ac:dyDescent="0.35">
      <c r="F81" s="30" t="str">
        <f t="shared" si="193"/>
        <v>Conduction_longi[3][1]</v>
      </c>
      <c r="G81" s="31"/>
      <c r="H81" s="25"/>
      <c r="I81" s="26"/>
      <c r="J81" s="27"/>
      <c r="K81" s="17"/>
      <c r="AH81" s="30" t="str">
        <f t="shared" si="194"/>
        <v>Conduction_longi[3][2]</v>
      </c>
      <c r="AI81" s="31"/>
      <c r="AJ81" s="25"/>
      <c r="AK81" s="26"/>
      <c r="AL81" s="27"/>
      <c r="AM81" s="17"/>
      <c r="BJ81" s="30" t="str">
        <f t="shared" si="195"/>
        <v>Conduction_longi[3][3]</v>
      </c>
      <c r="BK81" s="31"/>
      <c r="BL81" s="25"/>
      <c r="BM81" s="26"/>
      <c r="BN81" s="27"/>
      <c r="BO81" s="17"/>
      <c r="CL81" s="30" t="str">
        <f t="shared" si="196"/>
        <v>Conduction_longi[3][4]</v>
      </c>
      <c r="CM81" s="31"/>
      <c r="CN81" s="25"/>
      <c r="CO81" s="26"/>
      <c r="CP81" s="27"/>
      <c r="CQ81" s="17"/>
      <c r="DN81" s="30" t="str">
        <f t="shared" si="197"/>
        <v>Conduction_longi[3][5]</v>
      </c>
      <c r="DO81" s="31"/>
      <c r="DP81" s="25"/>
      <c r="DQ81" s="26"/>
      <c r="DR81" s="27"/>
      <c r="DS81" s="17"/>
    </row>
    <row r="82" spans="6:123" x14ac:dyDescent="0.35">
      <c r="F82" s="30" t="str">
        <f t="shared" si="193"/>
        <v>Conduction_longi[3][1]</v>
      </c>
      <c r="G82" s="31"/>
      <c r="H82" s="16"/>
      <c r="I82" s="16"/>
      <c r="J82" s="16"/>
      <c r="K82" s="17"/>
      <c r="AH82" s="30" t="str">
        <f t="shared" si="194"/>
        <v>Conduction_longi[3][2]</v>
      </c>
      <c r="AI82" s="31"/>
      <c r="AJ82" s="16"/>
      <c r="AK82" s="16"/>
      <c r="AL82" s="16"/>
      <c r="AM82" s="17"/>
      <c r="BJ82" s="30" t="str">
        <f t="shared" si="195"/>
        <v>Conduction_longi[3][3]</v>
      </c>
      <c r="BK82" s="31"/>
      <c r="BL82" s="16"/>
      <c r="BM82" s="16"/>
      <c r="BN82" s="16"/>
      <c r="BO82" s="17"/>
      <c r="CL82" s="30" t="str">
        <f t="shared" si="196"/>
        <v>Conduction_longi[3][4]</v>
      </c>
      <c r="CM82" s="31"/>
      <c r="CN82" s="16"/>
      <c r="CO82" s="16"/>
      <c r="CP82" s="16"/>
      <c r="CQ82" s="17"/>
      <c r="DN82" s="30" t="str">
        <f t="shared" si="197"/>
        <v>Conduction_longi[3][5]</v>
      </c>
      <c r="DO82" s="31"/>
      <c r="DP82" s="16"/>
      <c r="DQ82" s="16"/>
      <c r="DR82" s="16"/>
      <c r="DS82" s="17"/>
    </row>
    <row r="83" spans="6:123" x14ac:dyDescent="0.35">
      <c r="F83" s="30" t="str">
        <f t="shared" si="193"/>
        <v>Conduction_longi[3][1]</v>
      </c>
      <c r="G83" s="31" t="str">
        <f>F83&amp;"."&amp;I83</f>
        <v>Conduction_longi[3][1].T2[K]</v>
      </c>
      <c r="H83" s="15" t="s">
        <v>87</v>
      </c>
      <c r="I83" s="15" t="s">
        <v>59</v>
      </c>
      <c r="J83" s="28">
        <f>J89</f>
        <v>300</v>
      </c>
      <c r="K83" s="17"/>
      <c r="AH83" s="30" t="str">
        <f t="shared" si="194"/>
        <v>Conduction_longi[3][2]</v>
      </c>
      <c r="AI83" s="31" t="str">
        <f>AH83&amp;"."&amp;AK83</f>
        <v>Conduction_longi[3][2].T2[K]</v>
      </c>
      <c r="AJ83" s="15" t="s">
        <v>87</v>
      </c>
      <c r="AK83" s="15" t="s">
        <v>59</v>
      </c>
      <c r="AL83" s="28">
        <f>AL89</f>
        <v>300</v>
      </c>
      <c r="AM83" s="17"/>
      <c r="BJ83" s="30" t="str">
        <f t="shared" si="195"/>
        <v>Conduction_longi[3][3]</v>
      </c>
      <c r="BK83" s="31" t="str">
        <f>BJ83&amp;"."&amp;BM83</f>
        <v>Conduction_longi[3][3].T2[K]</v>
      </c>
      <c r="BL83" s="15" t="s">
        <v>87</v>
      </c>
      <c r="BM83" s="15" t="s">
        <v>59</v>
      </c>
      <c r="BN83" s="28">
        <f>BN89</f>
        <v>600</v>
      </c>
      <c r="BO83" s="17"/>
      <c r="CL83" s="30" t="str">
        <f t="shared" si="196"/>
        <v>Conduction_longi[3][4]</v>
      </c>
      <c r="CM83" s="31" t="str">
        <f>CL83&amp;"."&amp;CO83</f>
        <v>Conduction_longi[3][4].T2[K]</v>
      </c>
      <c r="CN83" s="15" t="s">
        <v>87</v>
      </c>
      <c r="CO83" s="15" t="s">
        <v>59</v>
      </c>
      <c r="CP83" s="28">
        <f>CP89</f>
        <v>300</v>
      </c>
      <c r="CQ83" s="17"/>
      <c r="DN83" s="30" t="str">
        <f t="shared" si="197"/>
        <v>Conduction_longi[3][5]</v>
      </c>
      <c r="DO83" s="31" t="str">
        <f>DN83&amp;"."&amp;DQ83</f>
        <v>Conduction_longi[3][5].T2[K]</v>
      </c>
      <c r="DP83" s="15" t="s">
        <v>87</v>
      </c>
      <c r="DQ83" s="15" t="s">
        <v>59</v>
      </c>
      <c r="DR83" s="28">
        <f>DR89</f>
        <v>300</v>
      </c>
      <c r="DS83" s="17"/>
    </row>
    <row r="84" spans="6:123" x14ac:dyDescent="0.35">
      <c r="F84" s="30" t="str">
        <f t="shared" si="193"/>
        <v>Conduction_longi[3][1]</v>
      </c>
      <c r="G84" s="31" t="str">
        <f>F84&amp;"."&amp;I84</f>
        <v>Conduction_longi[3][1].Q2in[W]</v>
      </c>
      <c r="H84" s="15" t="s">
        <v>89</v>
      </c>
      <c r="I84" s="15" t="s">
        <v>61</v>
      </c>
      <c r="J84" s="16">
        <f>J80</f>
        <v>-49957.50993645464</v>
      </c>
      <c r="K84" s="17"/>
      <c r="AH84" s="30" t="str">
        <f t="shared" si="194"/>
        <v>Conduction_longi[3][2]</v>
      </c>
      <c r="AI84" s="31" t="str">
        <f>AH84&amp;"."&amp;AK84</f>
        <v>Conduction_longi[3][2].Q2in[W]</v>
      </c>
      <c r="AJ84" s="15" t="s">
        <v>89</v>
      </c>
      <c r="AK84" s="15" t="s">
        <v>61</v>
      </c>
      <c r="AL84" s="16">
        <f>AL80</f>
        <v>-46826.863843665749</v>
      </c>
      <c r="AM84" s="17"/>
      <c r="BJ84" s="30" t="str">
        <f t="shared" si="195"/>
        <v>Conduction_longi[3][3]</v>
      </c>
      <c r="BK84" s="31" t="str">
        <f>BJ84&amp;"."&amp;BM84</f>
        <v>Conduction_longi[3][3].Q2in[W]</v>
      </c>
      <c r="BL84" s="15" t="s">
        <v>89</v>
      </c>
      <c r="BM84" s="15" t="s">
        <v>61</v>
      </c>
      <c r="BN84" s="16">
        <f>BN80</f>
        <v>-33009.040903197172</v>
      </c>
      <c r="BO84" s="17"/>
      <c r="CL84" s="30" t="str">
        <f t="shared" si="196"/>
        <v>Conduction_longi[3][4]</v>
      </c>
      <c r="CM84" s="31" t="str">
        <f>CL84&amp;"."&amp;CO84</f>
        <v>Conduction_longi[3][4].Q2in[W]</v>
      </c>
      <c r="CN84" s="15" t="s">
        <v>89</v>
      </c>
      <c r="CO84" s="15" t="s">
        <v>61</v>
      </c>
      <c r="CP84" s="16">
        <f>CP80</f>
        <v>-40161.461315977373</v>
      </c>
      <c r="CQ84" s="17"/>
      <c r="DN84" s="30" t="str">
        <f t="shared" si="197"/>
        <v>Conduction_longi[3][5]</v>
      </c>
      <c r="DO84" s="31" t="str">
        <f>DN84&amp;"."&amp;DQ84</f>
        <v>Conduction_longi[3][5].Q2in[W]</v>
      </c>
      <c r="DP84" s="15" t="s">
        <v>89</v>
      </c>
      <c r="DQ84" s="15" t="s">
        <v>61</v>
      </c>
      <c r="DR84" s="16">
        <f>DR80</f>
        <v>-36811.790667371744</v>
      </c>
      <c r="DS84" s="17"/>
    </row>
    <row r="85" spans="6:123" ht="17.25" thickBot="1" x14ac:dyDescent="0.4">
      <c r="F85" s="37" t="s">
        <v>69</v>
      </c>
      <c r="G85" s="18"/>
      <c r="H85" s="18"/>
      <c r="I85" s="18"/>
      <c r="J85" s="18"/>
      <c r="K85" s="39" t="s">
        <v>69</v>
      </c>
      <c r="AH85" s="37" t="s">
        <v>69</v>
      </c>
      <c r="AI85" s="18"/>
      <c r="AJ85" s="18"/>
      <c r="AK85" s="18"/>
      <c r="AL85" s="18"/>
      <c r="AM85" s="39" t="s">
        <v>69</v>
      </c>
      <c r="BJ85" s="37" t="s">
        <v>69</v>
      </c>
      <c r="BK85" s="18"/>
      <c r="BL85" s="18"/>
      <c r="BM85" s="18"/>
      <c r="BN85" s="18"/>
      <c r="BO85" s="39" t="s">
        <v>69</v>
      </c>
      <c r="CL85" s="37" t="s">
        <v>69</v>
      </c>
      <c r="CM85" s="18"/>
      <c r="CN85" s="18"/>
      <c r="CO85" s="18"/>
      <c r="CP85" s="18"/>
      <c r="CQ85" s="39" t="s">
        <v>69</v>
      </c>
      <c r="DN85" s="37" t="s">
        <v>69</v>
      </c>
      <c r="DO85" s="18"/>
      <c r="DP85" s="18"/>
      <c r="DQ85" s="18"/>
      <c r="DR85" s="18"/>
      <c r="DS85" s="39" t="s">
        <v>69</v>
      </c>
    </row>
    <row r="87" spans="6:123" ht="17.25" thickBot="1" x14ac:dyDescent="0.4"/>
    <row r="88" spans="6:123" x14ac:dyDescent="0.35">
      <c r="F88" s="12" t="s">
        <v>141</v>
      </c>
      <c r="G88" s="13"/>
      <c r="H88" s="14"/>
      <c r="I88" s="14"/>
      <c r="J88" s="14"/>
      <c r="K88" s="38" t="s">
        <v>69</v>
      </c>
      <c r="AH88" s="12" t="s">
        <v>142</v>
      </c>
      <c r="AI88" s="13"/>
      <c r="AJ88" s="14"/>
      <c r="AK88" s="14"/>
      <c r="AL88" s="14"/>
      <c r="AM88" s="38" t="s">
        <v>69</v>
      </c>
      <c r="BJ88" s="12" t="s">
        <v>143</v>
      </c>
      <c r="BK88" s="13"/>
      <c r="BL88" s="14"/>
      <c r="BM88" s="14"/>
      <c r="BN88" s="14"/>
      <c r="BO88" s="38" t="s">
        <v>69</v>
      </c>
      <c r="CL88" s="12" t="s">
        <v>144</v>
      </c>
      <c r="CM88" s="13"/>
      <c r="CN88" s="14"/>
      <c r="CO88" s="14"/>
      <c r="CP88" s="14"/>
      <c r="CQ88" s="38" t="s">
        <v>69</v>
      </c>
      <c r="DN88" s="12" t="s">
        <v>145</v>
      </c>
      <c r="DO88" s="13"/>
      <c r="DP88" s="14"/>
      <c r="DQ88" s="14"/>
      <c r="DR88" s="14"/>
      <c r="DS88" s="38" t="s">
        <v>69</v>
      </c>
    </row>
    <row r="89" spans="6:123" x14ac:dyDescent="0.35">
      <c r="F89" s="30" t="str">
        <f>F88</f>
        <v>BoundaryCondition_temperature[4][1]</v>
      </c>
      <c r="G89" s="31" t="str">
        <f>F89&amp;"."&amp;I89</f>
        <v>BoundaryCondition_temperature[4][1].T[K]</v>
      </c>
      <c r="H89" s="15" t="s">
        <v>87</v>
      </c>
      <c r="I89" s="15" t="s">
        <v>67</v>
      </c>
      <c r="J89" s="42">
        <v>300</v>
      </c>
      <c r="K89" s="17"/>
      <c r="AH89" s="30" t="str">
        <f>AH88</f>
        <v>BoundaryCondition_temperature[4][2]</v>
      </c>
      <c r="AI89" s="31" t="str">
        <f>AH89&amp;"."&amp;AK89</f>
        <v>BoundaryCondition_temperature[4][2].T[K]</v>
      </c>
      <c r="AJ89" s="15" t="s">
        <v>87</v>
      </c>
      <c r="AK89" s="15" t="s">
        <v>67</v>
      </c>
      <c r="AL89" s="42">
        <v>300</v>
      </c>
      <c r="AM89" s="17"/>
      <c r="BJ89" s="30" t="str">
        <f>BJ88</f>
        <v>BoundaryCondition_temperature[4][3]</v>
      </c>
      <c r="BK89" s="31" t="str">
        <f>BJ89&amp;"."&amp;BM89</f>
        <v>BoundaryCondition_temperature[4][3].T[K]</v>
      </c>
      <c r="BL89" s="15" t="s">
        <v>87</v>
      </c>
      <c r="BM89" s="15" t="s">
        <v>67</v>
      </c>
      <c r="BN89" s="42">
        <v>600</v>
      </c>
      <c r="BO89" s="17"/>
      <c r="CL89" s="30" t="str">
        <f>CL88</f>
        <v>BoundaryCondition_temperature[4][4]</v>
      </c>
      <c r="CM89" s="31" t="str">
        <f>CL89&amp;"."&amp;CO89</f>
        <v>BoundaryCondition_temperature[4][4].T[K]</v>
      </c>
      <c r="CN89" s="15" t="s">
        <v>87</v>
      </c>
      <c r="CO89" s="15" t="s">
        <v>67</v>
      </c>
      <c r="CP89" s="42">
        <v>300</v>
      </c>
      <c r="CQ89" s="17"/>
      <c r="DN89" s="30" t="str">
        <f>DN88</f>
        <v>BoundaryCondition_temperature[4][5]</v>
      </c>
      <c r="DO89" s="31" t="str">
        <f>DN89&amp;"."&amp;DQ89</f>
        <v>BoundaryCondition_temperature[4][5].T[K]</v>
      </c>
      <c r="DP89" s="15" t="s">
        <v>87</v>
      </c>
      <c r="DQ89" s="15" t="s">
        <v>67</v>
      </c>
      <c r="DR89" s="42">
        <v>300</v>
      </c>
      <c r="DS89" s="17"/>
    </row>
    <row r="90" spans="6:123" ht="17.25" thickBot="1" x14ac:dyDescent="0.4">
      <c r="F90" s="37" t="s">
        <v>69</v>
      </c>
      <c r="G90" s="18"/>
      <c r="H90" s="40"/>
      <c r="I90" s="40"/>
      <c r="J90" s="18"/>
      <c r="K90" s="39" t="s">
        <v>69</v>
      </c>
      <c r="AH90" s="37" t="s">
        <v>69</v>
      </c>
      <c r="AI90" s="18"/>
      <c r="AJ90" s="40"/>
      <c r="AK90" s="40"/>
      <c r="AL90" s="18"/>
      <c r="AM90" s="39" t="s">
        <v>69</v>
      </c>
      <c r="BJ90" s="37" t="s">
        <v>69</v>
      </c>
      <c r="BK90" s="18"/>
      <c r="BL90" s="40"/>
      <c r="BM90" s="40"/>
      <c r="BN90" s="18"/>
      <c r="BO90" s="39" t="s">
        <v>69</v>
      </c>
      <c r="CL90" s="37" t="s">
        <v>69</v>
      </c>
      <c r="CM90" s="18"/>
      <c r="CN90" s="40"/>
      <c r="CO90" s="40"/>
      <c r="CP90" s="18"/>
      <c r="CQ90" s="39" t="s">
        <v>69</v>
      </c>
      <c r="DN90" s="37" t="s">
        <v>69</v>
      </c>
      <c r="DO90" s="18"/>
      <c r="DP90" s="40"/>
      <c r="DQ90" s="40"/>
      <c r="DR90" s="18"/>
      <c r="DS90" s="39" t="s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286"/>
  <sheetViews>
    <sheetView topLeftCell="A4" zoomScale="90" zoomScaleNormal="90" zoomScalePageLayoutView="60" workbookViewId="0">
      <pane xSplit="21120" ySplit="1515" topLeftCell="F52" activePane="bottomLeft"/>
      <selection activeCell="F5" sqref="F5"/>
      <selection pane="topRight" activeCell="F1" sqref="F1"/>
      <selection pane="bottomLeft" activeCell="I78" sqref="I78"/>
      <selection pane="bottomRight" activeCell="L12" sqref="L12"/>
    </sheetView>
  </sheetViews>
  <sheetFormatPr defaultColWidth="10.7109375" defaultRowHeight="16.5" customHeight="1" x14ac:dyDescent="0.35"/>
  <cols>
    <col min="1" max="1" width="4.7109375" style="1" customWidth="1"/>
    <col min="2" max="2" width="3.5703125" style="1" customWidth="1"/>
    <col min="3" max="3" width="15.42578125" style="1" customWidth="1"/>
    <col min="4" max="4" width="5.7109375" style="1" customWidth="1"/>
    <col min="5" max="5" width="13.28515625" style="1" customWidth="1"/>
    <col min="6" max="6" width="14.85546875" style="1" customWidth="1"/>
    <col min="7" max="7" width="4.85546875" style="1" customWidth="1"/>
    <col min="8" max="8" width="5.85546875" style="1" customWidth="1"/>
    <col min="9" max="11" width="10.7109375" style="1"/>
    <col min="12" max="12" width="5.7109375" style="1" customWidth="1"/>
    <col min="13" max="13" width="13.28515625" style="1" customWidth="1"/>
    <col min="14" max="14" width="14.85546875" style="1" customWidth="1"/>
    <col min="15" max="15" width="4.85546875" style="1" customWidth="1"/>
    <col min="16" max="16384" width="10.7109375" style="1"/>
  </cols>
  <sheetData>
    <row r="1" spans="1:33" ht="16.5" customHeight="1" x14ac:dyDescent="0.35">
      <c r="A1" s="1" t="str">
        <f>SUBSTITUTE(ADDRESS(1,COLUMN(),4),1,"")</f>
        <v>A</v>
      </c>
      <c r="B1" s="1" t="str">
        <f t="shared" ref="B1:AG1" si="0">SUBSTITUTE(ADDRESS(1,COLUMN(),4),1,"")</f>
        <v>B</v>
      </c>
      <c r="C1" s="1" t="str">
        <f t="shared" si="0"/>
        <v>C</v>
      </c>
      <c r="D1" s="1" t="str">
        <f t="shared" si="0"/>
        <v>D</v>
      </c>
      <c r="E1" s="1" t="str">
        <f t="shared" si="0"/>
        <v>E</v>
      </c>
      <c r="F1" s="1" t="str">
        <f t="shared" si="0"/>
        <v>F</v>
      </c>
      <c r="G1" s="1" t="str">
        <f t="shared" si="0"/>
        <v>G</v>
      </c>
      <c r="H1" s="1" t="str">
        <f t="shared" si="0"/>
        <v>H</v>
      </c>
      <c r="I1" s="1" t="str">
        <f t="shared" si="0"/>
        <v>I</v>
      </c>
      <c r="J1" s="1" t="str">
        <f t="shared" si="0"/>
        <v>J</v>
      </c>
      <c r="K1" s="1" t="str">
        <f t="shared" si="0"/>
        <v>K</v>
      </c>
      <c r="L1" s="1" t="str">
        <f t="shared" si="0"/>
        <v>L</v>
      </c>
      <c r="M1" s="1" t="str">
        <f t="shared" si="0"/>
        <v>M</v>
      </c>
      <c r="N1" s="1" t="str">
        <f t="shared" si="0"/>
        <v>N</v>
      </c>
      <c r="O1" s="1" t="str">
        <f t="shared" si="0"/>
        <v>O</v>
      </c>
      <c r="P1" s="1" t="str">
        <f t="shared" si="0"/>
        <v>P</v>
      </c>
      <c r="Q1" s="1" t="str">
        <f t="shared" si="0"/>
        <v>Q</v>
      </c>
      <c r="R1" s="1" t="str">
        <f t="shared" si="0"/>
        <v>R</v>
      </c>
      <c r="S1" s="1" t="str">
        <f t="shared" si="0"/>
        <v>S</v>
      </c>
      <c r="T1" s="1" t="str">
        <f t="shared" si="0"/>
        <v>T</v>
      </c>
      <c r="U1" s="1" t="str">
        <f t="shared" si="0"/>
        <v>U</v>
      </c>
      <c r="V1" s="1" t="str">
        <f t="shared" si="0"/>
        <v>V</v>
      </c>
      <c r="W1" s="1" t="str">
        <f t="shared" si="0"/>
        <v>W</v>
      </c>
      <c r="X1" s="1" t="str">
        <f t="shared" si="0"/>
        <v>X</v>
      </c>
      <c r="Y1" s="1" t="str">
        <f t="shared" si="0"/>
        <v>Y</v>
      </c>
      <c r="Z1" s="1" t="str">
        <f t="shared" si="0"/>
        <v>Z</v>
      </c>
      <c r="AA1" s="1" t="str">
        <f t="shared" si="0"/>
        <v>AA</v>
      </c>
      <c r="AB1" s="1" t="str">
        <f t="shared" si="0"/>
        <v>AB</v>
      </c>
      <c r="AC1" s="1" t="str">
        <f t="shared" si="0"/>
        <v>AC</v>
      </c>
      <c r="AD1" s="1" t="str">
        <f t="shared" si="0"/>
        <v>AD</v>
      </c>
      <c r="AE1" s="1" t="str">
        <f t="shared" si="0"/>
        <v>AE</v>
      </c>
      <c r="AF1" s="1" t="str">
        <f t="shared" si="0"/>
        <v>AF</v>
      </c>
      <c r="AG1" s="1" t="str">
        <f t="shared" si="0"/>
        <v>AG</v>
      </c>
    </row>
    <row r="2" spans="1:33" ht="16.5" customHeight="1" x14ac:dyDescent="0.35">
      <c r="A2" s="1">
        <f>ROW()</f>
        <v>2</v>
      </c>
    </row>
    <row r="3" spans="1:33" ht="16.5" customHeight="1" x14ac:dyDescent="0.35">
      <c r="A3" s="1">
        <f>ROW()</f>
        <v>3</v>
      </c>
      <c r="F3" s="2" t="s">
        <v>43</v>
      </c>
      <c r="N3" s="2" t="s">
        <v>46</v>
      </c>
    </row>
    <row r="4" spans="1:33" ht="16.5" customHeight="1" x14ac:dyDescent="0.35">
      <c r="A4" s="1">
        <f>ROW()</f>
        <v>4</v>
      </c>
      <c r="C4" s="2" t="s">
        <v>45</v>
      </c>
      <c r="E4" s="2" t="s">
        <v>33</v>
      </c>
      <c r="F4" s="2" t="s">
        <v>37</v>
      </c>
      <c r="G4" s="2" t="s">
        <v>42</v>
      </c>
      <c r="H4" s="2"/>
      <c r="K4" s="2" t="s">
        <v>45</v>
      </c>
      <c r="M4" s="2" t="s">
        <v>33</v>
      </c>
      <c r="N4" s="2" t="s">
        <v>92</v>
      </c>
      <c r="O4" s="2" t="s">
        <v>42</v>
      </c>
    </row>
    <row r="5" spans="1:33" ht="16.5" customHeight="1" x14ac:dyDescent="0.35">
      <c r="A5" s="1">
        <f>ROW()</f>
        <v>5</v>
      </c>
      <c r="C5" s="2"/>
      <c r="F5" s="2"/>
      <c r="G5" s="2" t="s">
        <v>42</v>
      </c>
      <c r="N5" s="2"/>
      <c r="O5" s="2" t="s">
        <v>42</v>
      </c>
    </row>
    <row r="6" spans="1:33" ht="16.5" customHeight="1" x14ac:dyDescent="0.35">
      <c r="A6" s="1">
        <f>ROW()</f>
        <v>6</v>
      </c>
      <c r="C6" s="2" t="s">
        <v>45</v>
      </c>
      <c r="D6" s="2" t="s">
        <v>23</v>
      </c>
      <c r="G6" s="2" t="s">
        <v>42</v>
      </c>
      <c r="K6" s="2" t="s">
        <v>45</v>
      </c>
      <c r="L6" s="2" t="s">
        <v>23</v>
      </c>
      <c r="O6" s="2" t="s">
        <v>42</v>
      </c>
    </row>
    <row r="7" spans="1:33" ht="16.5" customHeight="1" x14ac:dyDescent="0.35">
      <c r="A7" s="1">
        <f>ROW()</f>
        <v>7</v>
      </c>
      <c r="D7" s="2"/>
      <c r="E7" s="2" t="s">
        <v>27</v>
      </c>
      <c r="F7" s="1" t="str">
        <f>F$1&amp;ROW(F20)&amp;":"&amp;F$1&amp;(ROW(F22)-1)</f>
        <v>F20:F21</v>
      </c>
      <c r="G7" s="2" t="s">
        <v>42</v>
      </c>
      <c r="L7" s="2"/>
      <c r="M7" s="2" t="s">
        <v>27</v>
      </c>
      <c r="N7" s="1" t="str">
        <f>N$1&amp;ROW(N20)&amp;":"&amp;N$1&amp;(ROW(N22)-1)</f>
        <v>N20:N21</v>
      </c>
      <c r="O7" s="2" t="s">
        <v>42</v>
      </c>
    </row>
    <row r="8" spans="1:33" ht="16.5" customHeight="1" x14ac:dyDescent="0.35">
      <c r="A8" s="1">
        <f>ROW()</f>
        <v>8</v>
      </c>
      <c r="E8" s="1" t="s">
        <v>2</v>
      </c>
      <c r="F8" s="1" t="str">
        <f>F$1&amp;ROW(F24)&amp;":"&amp;F$1&amp;(ROW(F36)-1)</f>
        <v>F24:F35</v>
      </c>
      <c r="G8" s="2" t="s">
        <v>42</v>
      </c>
      <c r="M8" s="1" t="s">
        <v>2</v>
      </c>
      <c r="N8" s="1" t="str">
        <f>N$1&amp;ROW(N24)&amp;":"&amp;N$1&amp;(ROW(N26)-1)</f>
        <v>N24:N25</v>
      </c>
      <c r="O8" s="2" t="s">
        <v>42</v>
      </c>
    </row>
    <row r="9" spans="1:33" ht="16.5" customHeight="1" x14ac:dyDescent="0.35">
      <c r="A9" s="1">
        <f>ROW()</f>
        <v>9</v>
      </c>
      <c r="E9" s="1" t="s">
        <v>3</v>
      </c>
      <c r="F9" s="1" t="str">
        <f>F$1&amp;ROW(F38)&amp;":"&amp;F$1&amp;(ROW(F50)-1)</f>
        <v>F38:F49</v>
      </c>
      <c r="G9" s="2" t="s">
        <v>42</v>
      </c>
      <c r="M9" s="1" t="s">
        <v>3</v>
      </c>
      <c r="N9" s="1" t="str">
        <f>N$1&amp;ROW(N28)&amp;":"&amp;N$1&amp;(ROW(N30)-1)</f>
        <v>N28:N29</v>
      </c>
      <c r="O9" s="2" t="s">
        <v>42</v>
      </c>
    </row>
    <row r="10" spans="1:33" ht="16.5" customHeight="1" x14ac:dyDescent="0.35">
      <c r="A10" s="1">
        <f>ROW()</f>
        <v>10</v>
      </c>
      <c r="D10" s="2"/>
      <c r="E10" s="2" t="s">
        <v>19</v>
      </c>
      <c r="F10" s="1" t="str">
        <f ca="1">F$1&amp;ROW(F52)&amp;":"&amp;F$1&amp;(ROW(F54)-1)</f>
        <v>F52:F53</v>
      </c>
      <c r="G10" s="2" t="s">
        <v>42</v>
      </c>
      <c r="L10" s="2"/>
      <c r="M10" s="2" t="s">
        <v>19</v>
      </c>
      <c r="N10" s="1" t="str">
        <f>N$1&amp;ROW(N32)&amp;":"&amp;N$1&amp;(ROW(N34)-1)</f>
        <v>N32:N33</v>
      </c>
      <c r="O10" s="2" t="s">
        <v>42</v>
      </c>
    </row>
    <row r="11" spans="1:33" ht="16.5" customHeight="1" x14ac:dyDescent="0.35">
      <c r="A11" s="1">
        <f>ROW()</f>
        <v>11</v>
      </c>
      <c r="E11" s="1" t="s">
        <v>0</v>
      </c>
      <c r="F11" s="1" t="str">
        <f>F$1&amp;ROW(F56)&amp;":"&amp;F$1&amp;(ROW(F68)-1)</f>
        <v>F56:F67</v>
      </c>
      <c r="G11" s="2" t="s">
        <v>42</v>
      </c>
      <c r="M11" s="1" t="s">
        <v>0</v>
      </c>
      <c r="N11" s="1" t="str">
        <f>N$1&amp;ROW(N36)&amp;":"&amp;N$1&amp;(ROW(N38)-1)</f>
        <v>N36:N37</v>
      </c>
      <c r="O11" s="2" t="s">
        <v>42</v>
      </c>
    </row>
    <row r="12" spans="1:33" ht="16.5" customHeight="1" x14ac:dyDescent="0.35">
      <c r="A12" s="1">
        <f>ROW()</f>
        <v>12</v>
      </c>
      <c r="E12" s="1" t="s">
        <v>1</v>
      </c>
      <c r="F12" s="1" t="str">
        <f>F$1&amp;ROW(F70)&amp;":"&amp;F$1&amp;(ROW(F82)-1)</f>
        <v>F70:F81</v>
      </c>
      <c r="G12" s="2" t="s">
        <v>42</v>
      </c>
      <c r="M12" s="1" t="s">
        <v>1</v>
      </c>
      <c r="N12" s="1" t="str">
        <f>N$1&amp;ROW(N40)&amp;":"&amp;N$1&amp;(ROW(N42)-1)</f>
        <v>N40:N41</v>
      </c>
      <c r="O12" s="2" t="s">
        <v>42</v>
      </c>
    </row>
    <row r="13" spans="1:33" ht="16.5" customHeight="1" x14ac:dyDescent="0.35">
      <c r="A13" s="1">
        <f>ROW()</f>
        <v>13</v>
      </c>
      <c r="E13" s="1" t="s">
        <v>4</v>
      </c>
      <c r="F13" s="1" t="str">
        <f>F$1&amp;ROW(F86)&amp;":"&amp;F$1&amp;(ROW(F98)-1)</f>
        <v>F86:F97</v>
      </c>
      <c r="G13" s="2" t="s">
        <v>42</v>
      </c>
      <c r="M13" s="1" t="s">
        <v>4</v>
      </c>
      <c r="N13" s="1" t="str">
        <f>N$1&amp;ROW(N46)&amp;":"&amp;N$1&amp;(ROW(N48)-1)</f>
        <v>N46:N47</v>
      </c>
      <c r="O13" s="2" t="s">
        <v>42</v>
      </c>
    </row>
    <row r="14" spans="1:33" ht="16.5" customHeight="1" x14ac:dyDescent="0.35">
      <c r="A14" s="1">
        <f>ROW()</f>
        <v>14</v>
      </c>
      <c r="E14" s="2" t="s">
        <v>38</v>
      </c>
      <c r="F14" s="1" t="str">
        <f>F$1&amp;ROW(F100)&amp;":"&amp;F$1&amp;(ROW(F112)-1)</f>
        <v>F100:F111</v>
      </c>
      <c r="G14" s="2" t="s">
        <v>42</v>
      </c>
      <c r="M14" s="2" t="s">
        <v>38</v>
      </c>
      <c r="N14" s="1" t="str">
        <f>N$1&amp;ROW(N50)&amp;":"&amp;N$1&amp;(ROW(N52)-1)</f>
        <v>N50:N51</v>
      </c>
      <c r="O14" s="2" t="s">
        <v>42</v>
      </c>
    </row>
    <row r="15" spans="1:33" ht="16.5" customHeight="1" x14ac:dyDescent="0.35">
      <c r="A15" s="1">
        <f>ROW()</f>
        <v>15</v>
      </c>
      <c r="E15" s="2" t="s">
        <v>39</v>
      </c>
      <c r="F15" s="1" t="str">
        <f>F$1&amp;ROW(F114)&amp;":"&amp;F$1&amp;(ROW(F126)-1)</f>
        <v>F114:F125</v>
      </c>
      <c r="G15" s="2" t="s">
        <v>42</v>
      </c>
      <c r="M15" s="2" t="s">
        <v>39</v>
      </c>
      <c r="N15" s="1" t="str">
        <f>N$1&amp;ROW(N54)&amp;":"&amp;N$1&amp;(ROW(N56)-1)</f>
        <v>N54:N55</v>
      </c>
      <c r="O15" s="2" t="s">
        <v>42</v>
      </c>
    </row>
    <row r="16" spans="1:33" ht="16.5" customHeight="1" x14ac:dyDescent="0.35">
      <c r="A16" s="1">
        <f>ROW()</f>
        <v>16</v>
      </c>
      <c r="E16" s="2" t="s">
        <v>17</v>
      </c>
      <c r="F16" s="1" t="str">
        <f>F$1&amp;ROW(F128)&amp;":"&amp;F$1&amp;(ROW(F140)-1)</f>
        <v>F128:F139</v>
      </c>
      <c r="G16" s="2" t="s">
        <v>42</v>
      </c>
      <c r="M16" s="2" t="s">
        <v>17</v>
      </c>
      <c r="N16" s="1" t="str">
        <f>N$1&amp;ROW(N58)&amp;":"&amp;N$1&amp;(ROW(N60)-1)</f>
        <v>N58:N59</v>
      </c>
      <c r="O16" s="2" t="s">
        <v>42</v>
      </c>
    </row>
    <row r="17" spans="1:15" ht="16.5" customHeight="1" x14ac:dyDescent="0.35">
      <c r="A17" s="1">
        <f>ROW()</f>
        <v>17</v>
      </c>
      <c r="E17" s="2" t="s">
        <v>16</v>
      </c>
      <c r="F17" s="1" t="str">
        <f>F$1&amp;ROW(F142)&amp;":"&amp;F$1&amp;(ROW(F286)-1)</f>
        <v>F142:F285</v>
      </c>
      <c r="G17" s="2" t="s">
        <v>42</v>
      </c>
      <c r="M17" s="2" t="s">
        <v>16</v>
      </c>
      <c r="N17" s="1" t="str">
        <f>N$1&amp;ROW(N62)&amp;":"&amp;N$1&amp;(ROW(N66)-1)</f>
        <v>N62:N65</v>
      </c>
      <c r="O17" s="2" t="s">
        <v>42</v>
      </c>
    </row>
    <row r="18" spans="1:15" ht="16.5" customHeight="1" x14ac:dyDescent="0.35">
      <c r="A18" s="1">
        <f>ROW()</f>
        <v>18</v>
      </c>
      <c r="C18" s="3" t="s">
        <v>10</v>
      </c>
      <c r="D18" s="3" t="s">
        <v>10</v>
      </c>
      <c r="E18" s="3" t="s">
        <v>10</v>
      </c>
      <c r="F18" s="3" t="s">
        <v>10</v>
      </c>
      <c r="G18" s="2" t="s">
        <v>42</v>
      </c>
      <c r="K18" s="3" t="s">
        <v>10</v>
      </c>
      <c r="L18" s="3" t="s">
        <v>10</v>
      </c>
      <c r="M18" s="3" t="s">
        <v>10</v>
      </c>
      <c r="N18" s="3" t="s">
        <v>10</v>
      </c>
      <c r="O18" s="2" t="s">
        <v>42</v>
      </c>
    </row>
    <row r="19" spans="1:15" ht="16.5" customHeight="1" x14ac:dyDescent="0.35">
      <c r="A19" s="1">
        <f>ROW()</f>
        <v>19</v>
      </c>
      <c r="C19" s="2" t="s">
        <v>45</v>
      </c>
      <c r="D19" s="3" t="s">
        <v>28</v>
      </c>
      <c r="E19" s="3"/>
      <c r="F19" s="3"/>
      <c r="G19" s="2" t="s">
        <v>42</v>
      </c>
      <c r="K19" s="2" t="s">
        <v>45</v>
      </c>
      <c r="L19" s="3" t="s">
        <v>28</v>
      </c>
      <c r="M19" s="3"/>
      <c r="N19" s="3"/>
      <c r="O19" s="2" t="s">
        <v>42</v>
      </c>
    </row>
    <row r="20" spans="1:15" ht="16.5" customHeight="1" x14ac:dyDescent="0.35">
      <c r="A20" s="1">
        <f>ROW()</f>
        <v>20</v>
      </c>
      <c r="D20" s="3"/>
      <c r="E20" s="3" t="s">
        <v>29</v>
      </c>
      <c r="F20" s="3" t="s">
        <v>93</v>
      </c>
      <c r="G20" s="2" t="s">
        <v>42</v>
      </c>
      <c r="L20" s="3"/>
      <c r="M20" s="3" t="s">
        <v>29</v>
      </c>
      <c r="N20" s="3" t="s">
        <v>32</v>
      </c>
      <c r="O20" s="2" t="s">
        <v>42</v>
      </c>
    </row>
    <row r="21" spans="1:15" ht="16.5" customHeight="1" x14ac:dyDescent="0.35">
      <c r="A21" s="1">
        <f>ROW()</f>
        <v>21</v>
      </c>
      <c r="D21" s="3"/>
      <c r="E21" s="3" t="s">
        <v>30</v>
      </c>
      <c r="F21" s="3" t="s">
        <v>31</v>
      </c>
      <c r="G21" s="2" t="s">
        <v>42</v>
      </c>
      <c r="L21" s="3"/>
      <c r="M21" s="3" t="s">
        <v>30</v>
      </c>
      <c r="N21" s="3" t="s">
        <v>31</v>
      </c>
      <c r="O21" s="2" t="s">
        <v>42</v>
      </c>
    </row>
    <row r="22" spans="1:15" ht="16.5" customHeight="1" x14ac:dyDescent="0.35">
      <c r="A22" s="1">
        <f>ROW()</f>
        <v>22</v>
      </c>
      <c r="C22" s="3" t="s">
        <v>10</v>
      </c>
      <c r="D22" s="3" t="s">
        <v>10</v>
      </c>
      <c r="E22" s="3" t="s">
        <v>10</v>
      </c>
      <c r="F22" s="3" t="s">
        <v>10</v>
      </c>
      <c r="G22" s="2" t="s">
        <v>42</v>
      </c>
      <c r="K22" s="3" t="s">
        <v>10</v>
      </c>
      <c r="L22" s="3" t="s">
        <v>10</v>
      </c>
      <c r="M22" s="3" t="s">
        <v>10</v>
      </c>
      <c r="N22" s="3" t="s">
        <v>10</v>
      </c>
      <c r="O22" s="2" t="s">
        <v>42</v>
      </c>
    </row>
    <row r="23" spans="1:15" ht="16.5" customHeight="1" x14ac:dyDescent="0.35">
      <c r="A23" s="1">
        <f>ROW()</f>
        <v>23</v>
      </c>
      <c r="C23" s="2" t="s">
        <v>45</v>
      </c>
      <c r="D23" s="1" t="s">
        <v>7</v>
      </c>
      <c r="G23" s="2" t="s">
        <v>42</v>
      </c>
      <c r="K23" s="2" t="s">
        <v>45</v>
      </c>
      <c r="L23" s="1" t="s">
        <v>7</v>
      </c>
      <c r="O23" s="2" t="s">
        <v>42</v>
      </c>
    </row>
    <row r="24" spans="1:15" ht="16.5" customHeight="1" x14ac:dyDescent="0.35">
      <c r="A24" s="1">
        <f>ROW()</f>
        <v>24</v>
      </c>
      <c r="E24" s="2" t="str">
        <f>"["&amp;ROW()-ROW($D$23)&amp;"]"</f>
        <v>[1]</v>
      </c>
      <c r="F24" s="1">
        <v>1E-4</v>
      </c>
      <c r="G24" s="2" t="s">
        <v>42</v>
      </c>
      <c r="H24" s="4"/>
      <c r="M24" s="2" t="s">
        <v>26</v>
      </c>
      <c r="N24" s="1">
        <v>1E-4</v>
      </c>
      <c r="O24" s="2" t="s">
        <v>42</v>
      </c>
    </row>
    <row r="25" spans="1:15" ht="16.5" customHeight="1" x14ac:dyDescent="0.35">
      <c r="A25" s="1">
        <f>ROW()</f>
        <v>25</v>
      </c>
      <c r="E25" s="2" t="str">
        <f t="shared" ref="E25:E35" si="1">"["&amp;ROW()-ROW($D$23)&amp;"]"</f>
        <v>[2]</v>
      </c>
      <c r="F25" s="1">
        <v>1E-4</v>
      </c>
      <c r="G25" s="2" t="s">
        <v>42</v>
      </c>
      <c r="M25" s="2" t="s">
        <v>25</v>
      </c>
      <c r="N25" s="1">
        <v>1E-4</v>
      </c>
      <c r="O25" s="2" t="s">
        <v>42</v>
      </c>
    </row>
    <row r="26" spans="1:15" ht="16.5" customHeight="1" x14ac:dyDescent="0.35">
      <c r="A26" s="1">
        <f>ROW()</f>
        <v>26</v>
      </c>
      <c r="E26" s="2" t="str">
        <f t="shared" si="1"/>
        <v>[3]</v>
      </c>
      <c r="F26" s="1">
        <v>1E-4</v>
      </c>
      <c r="G26" s="2" t="s">
        <v>42</v>
      </c>
      <c r="K26" s="3" t="s">
        <v>10</v>
      </c>
      <c r="L26" s="3" t="s">
        <v>10</v>
      </c>
      <c r="M26" s="3" t="s">
        <v>10</v>
      </c>
      <c r="N26" s="3" t="s">
        <v>44</v>
      </c>
      <c r="O26" s="2" t="s">
        <v>42</v>
      </c>
    </row>
    <row r="27" spans="1:15" ht="16.5" customHeight="1" x14ac:dyDescent="0.35">
      <c r="A27" s="1">
        <f>ROW()</f>
        <v>27</v>
      </c>
      <c r="E27" s="2" t="str">
        <f t="shared" si="1"/>
        <v>[4]</v>
      </c>
      <c r="F27" s="1">
        <v>1E-4</v>
      </c>
      <c r="G27" s="2" t="s">
        <v>42</v>
      </c>
      <c r="K27" s="2" t="s">
        <v>45</v>
      </c>
      <c r="L27" s="1" t="s">
        <v>8</v>
      </c>
      <c r="O27" s="2" t="s">
        <v>42</v>
      </c>
    </row>
    <row r="28" spans="1:15" ht="16.5" customHeight="1" x14ac:dyDescent="0.35">
      <c r="A28" s="1">
        <f>ROW()</f>
        <v>28</v>
      </c>
      <c r="E28" s="2" t="str">
        <f t="shared" si="1"/>
        <v>[5]</v>
      </c>
      <c r="F28" s="1">
        <v>1E-4</v>
      </c>
      <c r="G28" s="2" t="s">
        <v>42</v>
      </c>
      <c r="M28" s="2" t="s">
        <v>24</v>
      </c>
      <c r="N28" s="1">
        <v>2</v>
      </c>
      <c r="O28" s="2" t="s">
        <v>42</v>
      </c>
    </row>
    <row r="29" spans="1:15" ht="16.5" customHeight="1" x14ac:dyDescent="0.35">
      <c r="A29" s="1">
        <f>ROW()</f>
        <v>29</v>
      </c>
      <c r="E29" s="2" t="str">
        <f t="shared" si="1"/>
        <v>[6]</v>
      </c>
      <c r="F29" s="1">
        <v>1E-4</v>
      </c>
      <c r="G29" s="2" t="s">
        <v>42</v>
      </c>
      <c r="M29" s="2" t="s">
        <v>25</v>
      </c>
      <c r="N29" s="1">
        <v>2</v>
      </c>
      <c r="O29" s="2" t="s">
        <v>42</v>
      </c>
    </row>
    <row r="30" spans="1:15" ht="16.5" customHeight="1" x14ac:dyDescent="0.35">
      <c r="A30" s="1">
        <f>ROW()</f>
        <v>30</v>
      </c>
      <c r="E30" s="2" t="str">
        <f t="shared" si="1"/>
        <v>[7]</v>
      </c>
      <c r="F30" s="1">
        <v>1E-4</v>
      </c>
      <c r="G30" s="2" t="s">
        <v>42</v>
      </c>
      <c r="K30" s="3" t="s">
        <v>10</v>
      </c>
      <c r="L30" s="3" t="s">
        <v>10</v>
      </c>
      <c r="M30" s="3" t="s">
        <v>10</v>
      </c>
      <c r="N30" s="3" t="s">
        <v>44</v>
      </c>
      <c r="O30" s="2" t="s">
        <v>42</v>
      </c>
    </row>
    <row r="31" spans="1:15" ht="16.5" customHeight="1" x14ac:dyDescent="0.35">
      <c r="A31" s="1">
        <f>ROW()</f>
        <v>31</v>
      </c>
      <c r="E31" s="2" t="str">
        <f t="shared" si="1"/>
        <v>[8]</v>
      </c>
      <c r="F31" s="1">
        <v>1E-4</v>
      </c>
      <c r="G31" s="2" t="s">
        <v>42</v>
      </c>
      <c r="L31" s="3" t="s">
        <v>21</v>
      </c>
      <c r="M31" s="3"/>
      <c r="N31" s="3"/>
      <c r="O31" s="2" t="s">
        <v>42</v>
      </c>
    </row>
    <row r="32" spans="1:15" ht="16.5" customHeight="1" x14ac:dyDescent="0.35">
      <c r="A32" s="1">
        <f>ROW()</f>
        <v>32</v>
      </c>
      <c r="E32" s="2" t="str">
        <f t="shared" si="1"/>
        <v>[9]</v>
      </c>
      <c r="F32" s="1">
        <v>1E-4</v>
      </c>
      <c r="G32" s="2" t="s">
        <v>42</v>
      </c>
      <c r="L32" s="3"/>
      <c r="M32" s="3" t="s">
        <v>35</v>
      </c>
      <c r="N32" s="2" t="s">
        <v>34</v>
      </c>
      <c r="O32" s="2" t="s">
        <v>42</v>
      </c>
    </row>
    <row r="33" spans="1:15" ht="16.5" customHeight="1" x14ac:dyDescent="0.35">
      <c r="A33" s="1">
        <f>ROW()</f>
        <v>33</v>
      </c>
      <c r="E33" s="2" t="str">
        <f t="shared" si="1"/>
        <v>[10]</v>
      </c>
      <c r="F33" s="1">
        <v>1E-4</v>
      </c>
      <c r="G33" s="2" t="s">
        <v>42</v>
      </c>
      <c r="L33" s="3"/>
      <c r="M33" s="3" t="s">
        <v>20</v>
      </c>
      <c r="N33" s="3" t="s">
        <v>36</v>
      </c>
      <c r="O33" s="2" t="s">
        <v>42</v>
      </c>
    </row>
    <row r="34" spans="1:15" ht="16.5" customHeight="1" x14ac:dyDescent="0.35">
      <c r="A34" s="1">
        <f>ROW()</f>
        <v>34</v>
      </c>
      <c r="E34" s="2" t="str">
        <f t="shared" si="1"/>
        <v>[11]</v>
      </c>
      <c r="F34" s="1">
        <v>1E-4</v>
      </c>
      <c r="G34" s="2" t="s">
        <v>42</v>
      </c>
      <c r="K34" s="3" t="s">
        <v>10</v>
      </c>
      <c r="L34" s="3" t="s">
        <v>10</v>
      </c>
      <c r="M34" s="3" t="s">
        <v>10</v>
      </c>
      <c r="N34" s="3" t="s">
        <v>10</v>
      </c>
      <c r="O34" s="2" t="s">
        <v>42</v>
      </c>
    </row>
    <row r="35" spans="1:15" ht="16.5" customHeight="1" x14ac:dyDescent="0.35">
      <c r="A35" s="1">
        <f>ROW()</f>
        <v>35</v>
      </c>
      <c r="E35" s="2" t="str">
        <f t="shared" si="1"/>
        <v>[12]</v>
      </c>
      <c r="F35" s="1">
        <v>1E-4</v>
      </c>
      <c r="G35" s="2" t="s">
        <v>42</v>
      </c>
      <c r="K35" s="2" t="s">
        <v>47</v>
      </c>
      <c r="L35" s="1" t="s">
        <v>5</v>
      </c>
      <c r="N35" s="5"/>
      <c r="O35" s="2" t="s">
        <v>42</v>
      </c>
    </row>
    <row r="36" spans="1:15" ht="16.5" customHeight="1" x14ac:dyDescent="0.35">
      <c r="A36" s="1">
        <f>ROW()</f>
        <v>36</v>
      </c>
      <c r="C36" s="3" t="s">
        <v>44</v>
      </c>
      <c r="D36" s="3" t="s">
        <v>10</v>
      </c>
      <c r="E36" s="3" t="s">
        <v>10</v>
      </c>
      <c r="F36" s="3" t="s">
        <v>44</v>
      </c>
      <c r="G36" s="2" t="s">
        <v>42</v>
      </c>
      <c r="M36" s="2" t="s">
        <v>26</v>
      </c>
      <c r="N36" s="6">
        <v>2.1213203435596424</v>
      </c>
      <c r="O36" s="2" t="s">
        <v>42</v>
      </c>
    </row>
    <row r="37" spans="1:15" ht="16.5" customHeight="1" x14ac:dyDescent="0.35">
      <c r="A37" s="1">
        <f>ROW()</f>
        <v>37</v>
      </c>
      <c r="C37" s="2" t="s">
        <v>45</v>
      </c>
      <c r="D37" s="1" t="s">
        <v>8</v>
      </c>
      <c r="G37" s="2" t="s">
        <v>42</v>
      </c>
      <c r="M37" s="2" t="s">
        <v>25</v>
      </c>
      <c r="N37" s="7">
        <v>0.70710678118654746</v>
      </c>
      <c r="O37" s="2" t="s">
        <v>42</v>
      </c>
    </row>
    <row r="38" spans="1:15" ht="16.5" customHeight="1" x14ac:dyDescent="0.35">
      <c r="A38" s="1">
        <f>ROW()</f>
        <v>38</v>
      </c>
      <c r="E38" s="2" t="str">
        <f>"["&amp;ROW()-ROW($D$37)&amp;"]"</f>
        <v>[1]</v>
      </c>
      <c r="F38" s="1">
        <v>50</v>
      </c>
      <c r="G38" s="2" t="s">
        <v>42</v>
      </c>
      <c r="K38" s="3" t="s">
        <v>10</v>
      </c>
      <c r="L38" s="3" t="s">
        <v>10</v>
      </c>
      <c r="M38" s="3" t="s">
        <v>10</v>
      </c>
      <c r="N38" s="3" t="s">
        <v>44</v>
      </c>
      <c r="O38" s="2" t="s">
        <v>42</v>
      </c>
    </row>
    <row r="39" spans="1:15" ht="16.5" customHeight="1" x14ac:dyDescent="0.35">
      <c r="A39" s="1">
        <f>ROW()</f>
        <v>39</v>
      </c>
      <c r="E39" s="2" t="str">
        <f t="shared" ref="E39:E49" si="2">"["&amp;ROW()-ROW($D$37)&amp;"]"</f>
        <v>[2]</v>
      </c>
      <c r="F39" s="1">
        <v>50</v>
      </c>
      <c r="G39" s="2" t="s">
        <v>42</v>
      </c>
      <c r="K39" s="2" t="s">
        <v>48</v>
      </c>
      <c r="L39" s="1" t="s">
        <v>6</v>
      </c>
      <c r="O39" s="2" t="s">
        <v>42</v>
      </c>
    </row>
    <row r="40" spans="1:15" ht="16.5" customHeight="1" x14ac:dyDescent="0.35">
      <c r="A40" s="1">
        <f>ROW()</f>
        <v>40</v>
      </c>
      <c r="E40" s="2" t="str">
        <f t="shared" si="2"/>
        <v>[3]</v>
      </c>
      <c r="F40" s="1">
        <v>50</v>
      </c>
      <c r="G40" s="2" t="s">
        <v>42</v>
      </c>
      <c r="M40" s="2" t="s">
        <v>26</v>
      </c>
      <c r="N40" s="8">
        <f>N36^2+N37^2-5</f>
        <v>0</v>
      </c>
      <c r="O40" s="2" t="s">
        <v>42</v>
      </c>
    </row>
    <row r="41" spans="1:15" ht="16.5" customHeight="1" x14ac:dyDescent="0.35">
      <c r="A41" s="1">
        <f>ROW()</f>
        <v>41</v>
      </c>
      <c r="E41" s="2" t="str">
        <f t="shared" si="2"/>
        <v>[4]</v>
      </c>
      <c r="F41" s="1">
        <v>50</v>
      </c>
      <c r="G41" s="2" t="s">
        <v>42</v>
      </c>
      <c r="M41" s="2" t="s">
        <v>25</v>
      </c>
      <c r="N41" s="8">
        <f>1/9*N36^2+N37^2-1</f>
        <v>0</v>
      </c>
      <c r="O41" s="2" t="s">
        <v>42</v>
      </c>
    </row>
    <row r="42" spans="1:15" ht="16.5" customHeight="1" x14ac:dyDescent="0.35">
      <c r="A42" s="1">
        <f>ROW()</f>
        <v>42</v>
      </c>
      <c r="E42" s="2" t="str">
        <f t="shared" si="2"/>
        <v>[5]</v>
      </c>
      <c r="F42" s="1">
        <v>50</v>
      </c>
      <c r="G42" s="2" t="s">
        <v>42</v>
      </c>
      <c r="K42" s="3" t="s">
        <v>10</v>
      </c>
      <c r="L42" s="3" t="s">
        <v>10</v>
      </c>
      <c r="M42" s="3" t="s">
        <v>10</v>
      </c>
      <c r="N42" s="3" t="s">
        <v>44</v>
      </c>
      <c r="O42" s="2" t="s">
        <v>42</v>
      </c>
    </row>
    <row r="43" spans="1:15" ht="16.5" customHeight="1" x14ac:dyDescent="0.35">
      <c r="A43" s="1">
        <f>ROW()</f>
        <v>43</v>
      </c>
      <c r="E43" s="2" t="str">
        <f t="shared" si="2"/>
        <v>[6]</v>
      </c>
      <c r="F43" s="1">
        <v>50</v>
      </c>
      <c r="G43" s="2" t="s">
        <v>42</v>
      </c>
      <c r="M43" s="3" t="s">
        <v>11</v>
      </c>
      <c r="N43" s="9">
        <f>SQRT(SUMSQ(N40:N42))</f>
        <v>0</v>
      </c>
      <c r="O43" s="2" t="s">
        <v>42</v>
      </c>
    </row>
    <row r="44" spans="1:15" ht="16.5" customHeight="1" x14ac:dyDescent="0.35">
      <c r="A44" s="1">
        <f>ROW()</f>
        <v>44</v>
      </c>
      <c r="E44" s="2" t="str">
        <f t="shared" si="2"/>
        <v>[7]</v>
      </c>
      <c r="F44" s="1">
        <v>50</v>
      </c>
      <c r="G44" s="2" t="s">
        <v>42</v>
      </c>
      <c r="K44" s="3" t="s">
        <v>10</v>
      </c>
      <c r="L44" s="3" t="s">
        <v>10</v>
      </c>
      <c r="M44" s="3" t="s">
        <v>10</v>
      </c>
      <c r="N44" s="3" t="s">
        <v>10</v>
      </c>
      <c r="O44" s="2" t="s">
        <v>42</v>
      </c>
    </row>
    <row r="45" spans="1:15" ht="16.5" customHeight="1" x14ac:dyDescent="0.35">
      <c r="A45" s="1">
        <f>ROW()</f>
        <v>45</v>
      </c>
      <c r="E45" s="2" t="str">
        <f t="shared" si="2"/>
        <v>[8]</v>
      </c>
      <c r="F45" s="1">
        <v>50</v>
      </c>
      <c r="G45" s="2" t="s">
        <v>42</v>
      </c>
      <c r="L45" s="1" t="s">
        <v>9</v>
      </c>
      <c r="O45" s="2" t="s">
        <v>42</v>
      </c>
    </row>
    <row r="46" spans="1:15" ht="16.5" customHeight="1" x14ac:dyDescent="0.35">
      <c r="A46" s="1">
        <f>ROW()</f>
        <v>46</v>
      </c>
      <c r="E46" s="2" t="str">
        <f t="shared" si="2"/>
        <v>[9]</v>
      </c>
      <c r="F46" s="1">
        <v>50</v>
      </c>
      <c r="G46" s="2" t="s">
        <v>42</v>
      </c>
      <c r="M46" s="2" t="s">
        <v>26</v>
      </c>
      <c r="N46" s="6">
        <v>0</v>
      </c>
      <c r="O46" s="2" t="s">
        <v>42</v>
      </c>
    </row>
    <row r="47" spans="1:15" ht="16.5" customHeight="1" x14ac:dyDescent="0.35">
      <c r="A47" s="1">
        <f>ROW()</f>
        <v>47</v>
      </c>
      <c r="E47" s="2" t="str">
        <f t="shared" si="2"/>
        <v>[10]</v>
      </c>
      <c r="F47" s="1">
        <v>50</v>
      </c>
      <c r="G47" s="2" t="s">
        <v>42</v>
      </c>
      <c r="M47" s="2" t="s">
        <v>25</v>
      </c>
      <c r="N47" s="6">
        <v>0</v>
      </c>
      <c r="O47" s="2" t="s">
        <v>42</v>
      </c>
    </row>
    <row r="48" spans="1:15" ht="16.5" customHeight="1" x14ac:dyDescent="0.35">
      <c r="A48" s="1">
        <f>ROW()</f>
        <v>48</v>
      </c>
      <c r="E48" s="2" t="str">
        <f t="shared" si="2"/>
        <v>[11]</v>
      </c>
      <c r="F48" s="1">
        <v>50</v>
      </c>
      <c r="G48" s="2" t="s">
        <v>42</v>
      </c>
      <c r="K48" s="3" t="s">
        <v>10</v>
      </c>
      <c r="L48" s="3" t="s">
        <v>10</v>
      </c>
      <c r="M48" s="3" t="s">
        <v>10</v>
      </c>
      <c r="N48" s="3" t="s">
        <v>44</v>
      </c>
      <c r="O48" s="2" t="s">
        <v>42</v>
      </c>
    </row>
    <row r="49" spans="1:15" ht="16.5" customHeight="1" x14ac:dyDescent="0.35">
      <c r="A49" s="1">
        <f>ROW()</f>
        <v>49</v>
      </c>
      <c r="E49" s="2" t="str">
        <f t="shared" si="2"/>
        <v>[12]</v>
      </c>
      <c r="F49" s="1">
        <v>50</v>
      </c>
      <c r="G49" s="2" t="s">
        <v>42</v>
      </c>
      <c r="L49" s="2" t="s">
        <v>40</v>
      </c>
      <c r="O49" s="2" t="s">
        <v>42</v>
      </c>
    </row>
    <row r="50" spans="1:15" ht="16.5" customHeight="1" x14ac:dyDescent="0.35">
      <c r="A50" s="1">
        <f>ROW()</f>
        <v>50</v>
      </c>
      <c r="C50" s="3" t="s">
        <v>44</v>
      </c>
      <c r="D50" s="3" t="s">
        <v>10</v>
      </c>
      <c r="E50" s="3" t="s">
        <v>10</v>
      </c>
      <c r="F50" s="3" t="s">
        <v>44</v>
      </c>
      <c r="G50" s="2" t="s">
        <v>42</v>
      </c>
      <c r="M50" s="2" t="s">
        <v>26</v>
      </c>
      <c r="N50" s="6">
        <v>2.1213203435596424</v>
      </c>
      <c r="O50" s="2" t="s">
        <v>42</v>
      </c>
    </row>
    <row r="51" spans="1:15" ht="16.5" customHeight="1" x14ac:dyDescent="0.35">
      <c r="A51" s="1">
        <f>ROW()</f>
        <v>51</v>
      </c>
      <c r="D51" s="3" t="s">
        <v>21</v>
      </c>
      <c r="E51" s="3"/>
      <c r="F51" s="3"/>
      <c r="G51" s="2" t="s">
        <v>42</v>
      </c>
      <c r="M51" s="2" t="s">
        <v>25</v>
      </c>
      <c r="N51" s="6">
        <v>0.70710678118654746</v>
      </c>
      <c r="O51" s="2" t="s">
        <v>42</v>
      </c>
    </row>
    <row r="52" spans="1:15" ht="16.5" customHeight="1" x14ac:dyDescent="0.35">
      <c r="A52" s="1">
        <f>ROW()</f>
        <v>52</v>
      </c>
      <c r="D52" s="3"/>
      <c r="E52" s="3" t="s">
        <v>35</v>
      </c>
      <c r="F52" s="2" t="s">
        <v>34</v>
      </c>
      <c r="G52" s="2" t="s">
        <v>42</v>
      </c>
      <c r="K52" s="3" t="s">
        <v>10</v>
      </c>
      <c r="L52" s="3" t="s">
        <v>10</v>
      </c>
      <c r="M52" s="3" t="s">
        <v>10</v>
      </c>
      <c r="N52" s="3" t="s">
        <v>44</v>
      </c>
      <c r="O52" s="2" t="s">
        <v>42</v>
      </c>
    </row>
    <row r="53" spans="1:15" ht="16.5" customHeight="1" x14ac:dyDescent="0.35">
      <c r="A53" s="1">
        <f>ROW()</f>
        <v>53</v>
      </c>
      <c r="D53" s="3"/>
      <c r="E53" s="3" t="s">
        <v>20</v>
      </c>
      <c r="F53" s="3" t="s">
        <v>36</v>
      </c>
      <c r="G53" s="2" t="s">
        <v>42</v>
      </c>
      <c r="L53" s="2" t="s">
        <v>41</v>
      </c>
      <c r="O53" s="2" t="s">
        <v>42</v>
      </c>
    </row>
    <row r="54" spans="1:15" ht="16.5" customHeight="1" x14ac:dyDescent="0.35">
      <c r="A54" s="1">
        <f>ROW()</f>
        <v>54</v>
      </c>
      <c r="C54" s="3" t="s">
        <v>10</v>
      </c>
      <c r="D54" s="3" t="s">
        <v>10</v>
      </c>
      <c r="E54" s="3" t="s">
        <v>10</v>
      </c>
      <c r="F54" s="3" t="s">
        <v>10</v>
      </c>
      <c r="G54" s="2" t="s">
        <v>42</v>
      </c>
      <c r="M54" s="2" t="s">
        <v>26</v>
      </c>
      <c r="N54" s="10">
        <v>0</v>
      </c>
      <c r="O54" s="2" t="s">
        <v>42</v>
      </c>
    </row>
    <row r="55" spans="1:15" ht="16.5" customHeight="1" x14ac:dyDescent="0.35">
      <c r="A55" s="1">
        <f>ROW()</f>
        <v>55</v>
      </c>
      <c r="C55" s="2" t="s">
        <v>47</v>
      </c>
      <c r="D55" s="1" t="s">
        <v>5</v>
      </c>
      <c r="F55" s="5"/>
      <c r="G55" s="2" t="s">
        <v>42</v>
      </c>
      <c r="M55" s="2" t="s">
        <v>25</v>
      </c>
      <c r="N55" s="10">
        <v>0</v>
      </c>
      <c r="O55" s="2" t="s">
        <v>42</v>
      </c>
    </row>
    <row r="56" spans="1:15" ht="16.5" customHeight="1" x14ac:dyDescent="0.35">
      <c r="A56" s="1">
        <f>ROW()</f>
        <v>56</v>
      </c>
      <c r="E56" s="2" t="str">
        <f>"["&amp;ROW()-ROW($D$55)&amp;"]"</f>
        <v>[1]</v>
      </c>
      <c r="F56" s="49">
        <v>1299.4632633383717</v>
      </c>
      <c r="G56" s="2" t="s">
        <v>42</v>
      </c>
      <c r="K56" s="3" t="s">
        <v>10</v>
      </c>
      <c r="L56" s="3" t="s">
        <v>10</v>
      </c>
      <c r="M56" s="3" t="s">
        <v>10</v>
      </c>
      <c r="N56" s="3" t="s">
        <v>44</v>
      </c>
      <c r="O56" s="2" t="s">
        <v>42</v>
      </c>
    </row>
    <row r="57" spans="1:15" ht="16.5" customHeight="1" x14ac:dyDescent="0.35">
      <c r="A57" s="1">
        <f>ROW()</f>
        <v>57</v>
      </c>
      <c r="E57" s="2" t="str">
        <f t="shared" ref="E57:E67" si="3">"["&amp;ROW()-ROW($D$55)&amp;"]"</f>
        <v>[2]</v>
      </c>
      <c r="F57" s="50">
        <v>1234.6059945580828</v>
      </c>
      <c r="G57" s="2" t="s">
        <v>42</v>
      </c>
      <c r="L57" s="2" t="s">
        <v>18</v>
      </c>
      <c r="O57" s="2" t="s">
        <v>42</v>
      </c>
    </row>
    <row r="58" spans="1:15" ht="16.5" customHeight="1" x14ac:dyDescent="0.35">
      <c r="A58" s="1">
        <f>ROW()</f>
        <v>58</v>
      </c>
      <c r="E58" s="2" t="str">
        <f t="shared" si="3"/>
        <v>[3]</v>
      </c>
      <c r="F58" s="50">
        <v>1264.0837937286185</v>
      </c>
      <c r="G58" s="2" t="s">
        <v>42</v>
      </c>
      <c r="M58" s="2" t="s">
        <v>26</v>
      </c>
      <c r="N58" s="10">
        <v>0</v>
      </c>
      <c r="O58" s="2" t="s">
        <v>42</v>
      </c>
    </row>
    <row r="59" spans="1:15" ht="16.5" customHeight="1" x14ac:dyDescent="0.35">
      <c r="A59" s="1">
        <f>ROW()</f>
        <v>59</v>
      </c>
      <c r="E59" s="2" t="str">
        <f t="shared" si="3"/>
        <v>[4]</v>
      </c>
      <c r="F59" s="50">
        <v>1101.279435425686</v>
      </c>
      <c r="G59" s="2" t="s">
        <v>42</v>
      </c>
      <c r="M59" s="2" t="s">
        <v>25</v>
      </c>
      <c r="N59" s="10">
        <v>0</v>
      </c>
      <c r="O59" s="2" t="s">
        <v>42</v>
      </c>
    </row>
    <row r="60" spans="1:15" ht="16.5" customHeight="1" x14ac:dyDescent="0.35">
      <c r="A60" s="1">
        <f>ROW()</f>
        <v>60</v>
      </c>
      <c r="E60" s="2" t="str">
        <f t="shared" si="3"/>
        <v>[5]</v>
      </c>
      <c r="F60" s="50">
        <v>1032.9008462825743</v>
      </c>
      <c r="G60" s="2" t="s">
        <v>42</v>
      </c>
      <c r="K60" s="3" t="s">
        <v>10</v>
      </c>
      <c r="L60" s="3" t="s">
        <v>10</v>
      </c>
      <c r="M60" s="3" t="s">
        <v>10</v>
      </c>
      <c r="N60" s="3" t="s">
        <v>44</v>
      </c>
      <c r="O60" s="2" t="s">
        <v>42</v>
      </c>
    </row>
    <row r="61" spans="1:15" ht="16.5" customHeight="1" x14ac:dyDescent="0.35">
      <c r="A61" s="1">
        <f>ROW()</f>
        <v>61</v>
      </c>
      <c r="E61" s="2" t="str">
        <f t="shared" si="3"/>
        <v>[6]</v>
      </c>
      <c r="F61" s="50">
        <v>732.90084628257443</v>
      </c>
      <c r="G61" s="2" t="s">
        <v>42</v>
      </c>
      <c r="L61" s="2" t="s">
        <v>22</v>
      </c>
      <c r="O61" s="2" t="s">
        <v>42</v>
      </c>
    </row>
    <row r="62" spans="1:15" ht="16.5" customHeight="1" x14ac:dyDescent="0.35">
      <c r="A62" s="1">
        <f>ROW()</f>
        <v>62</v>
      </c>
      <c r="E62" s="2" t="str">
        <f t="shared" si="3"/>
        <v>[7]</v>
      </c>
      <c r="F62" s="50">
        <v>799.57509936454642</v>
      </c>
      <c r="G62" s="2" t="s">
        <v>42</v>
      </c>
      <c r="M62" s="2" t="s">
        <v>13</v>
      </c>
      <c r="N62" s="11">
        <v>4.2427406871237139</v>
      </c>
      <c r="O62" s="2" t="s">
        <v>42</v>
      </c>
    </row>
    <row r="63" spans="1:15" ht="16.5" customHeight="1" x14ac:dyDescent="0.35">
      <c r="A63" s="1">
        <f>ROW()</f>
        <v>63</v>
      </c>
      <c r="E63" s="2" t="str">
        <f t="shared" si="3"/>
        <v>[8]</v>
      </c>
      <c r="F63" s="50">
        <v>768.26863843665751</v>
      </c>
      <c r="G63" s="2" t="s">
        <v>42</v>
      </c>
      <c r="M63" s="2" t="s">
        <v>12</v>
      </c>
      <c r="N63" s="11">
        <v>1.4143135623623238</v>
      </c>
      <c r="O63" s="2" t="s">
        <v>42</v>
      </c>
    </row>
    <row r="64" spans="1:15" ht="16.5" customHeight="1" x14ac:dyDescent="0.35">
      <c r="A64" s="1">
        <f>ROW()</f>
        <v>64</v>
      </c>
      <c r="E64" s="2" t="str">
        <f t="shared" si="3"/>
        <v>[9]</v>
      </c>
      <c r="F64" s="50">
        <v>930.09040903197172</v>
      </c>
      <c r="G64" s="2" t="s">
        <v>42</v>
      </c>
      <c r="M64" s="2" t="s">
        <v>14</v>
      </c>
      <c r="N64" s="11">
        <v>0.47141563189967428</v>
      </c>
      <c r="O64" s="2" t="s">
        <v>42</v>
      </c>
    </row>
    <row r="65" spans="1:15" ht="16.5" customHeight="1" x14ac:dyDescent="0.35">
      <c r="A65" s="1">
        <f>ROW()</f>
        <v>65</v>
      </c>
      <c r="E65" s="2" t="str">
        <f t="shared" si="3"/>
        <v>[10]</v>
      </c>
      <c r="F65" s="50">
        <v>701.61461315977374</v>
      </c>
      <c r="G65" s="2" t="s">
        <v>42</v>
      </c>
      <c r="M65" s="2" t="s">
        <v>15</v>
      </c>
      <c r="N65" s="11">
        <v>1.4143135623712055</v>
      </c>
      <c r="O65" s="2" t="s">
        <v>42</v>
      </c>
    </row>
    <row r="66" spans="1:15" ht="16.5" customHeight="1" x14ac:dyDescent="0.35">
      <c r="A66" s="1">
        <f>ROW()</f>
        <v>66</v>
      </c>
      <c r="E66" s="2" t="str">
        <f t="shared" si="3"/>
        <v>[11]</v>
      </c>
      <c r="F66" s="50">
        <v>668.11790667371747</v>
      </c>
      <c r="G66" s="2" t="s">
        <v>42</v>
      </c>
      <c r="K66" s="3" t="s">
        <v>10</v>
      </c>
      <c r="L66" s="3" t="s">
        <v>10</v>
      </c>
      <c r="M66" s="3" t="s">
        <v>10</v>
      </c>
      <c r="N66" s="3" t="s">
        <v>44</v>
      </c>
      <c r="O66" s="2" t="s">
        <v>42</v>
      </c>
    </row>
    <row r="67" spans="1:15" ht="16.5" customHeight="1" x14ac:dyDescent="0.35">
      <c r="E67" s="2" t="str">
        <f t="shared" si="3"/>
        <v>[12]</v>
      </c>
      <c r="F67" s="50">
        <v>968.11790667371747</v>
      </c>
      <c r="G67" s="2" t="s">
        <v>42</v>
      </c>
    </row>
    <row r="68" spans="1:15" ht="16.5" customHeight="1" x14ac:dyDescent="0.35">
      <c r="C68" s="3" t="s">
        <v>44</v>
      </c>
      <c r="D68" s="3" t="s">
        <v>10</v>
      </c>
      <c r="E68" s="3" t="s">
        <v>10</v>
      </c>
      <c r="F68" s="3" t="s">
        <v>44</v>
      </c>
      <c r="G68" s="2" t="s">
        <v>42</v>
      </c>
    </row>
    <row r="69" spans="1:15" ht="16.5" customHeight="1" x14ac:dyDescent="0.35">
      <c r="C69" s="2" t="s">
        <v>48</v>
      </c>
      <c r="D69" s="1" t="s">
        <v>6</v>
      </c>
      <c r="G69" s="2" t="s">
        <v>42</v>
      </c>
    </row>
    <row r="70" spans="1:15" ht="16.5" customHeight="1" x14ac:dyDescent="0.35">
      <c r="E70" s="2" t="str">
        <f>"["&amp;ROW()-ROW($D$69)&amp;"]"</f>
        <v>[1]</v>
      </c>
      <c r="F70" s="51">
        <f>SystemModel!J27</f>
        <v>0</v>
      </c>
      <c r="G70" s="2" t="s">
        <v>42</v>
      </c>
      <c r="I70" s="11"/>
    </row>
    <row r="71" spans="1:15" ht="16.5" customHeight="1" x14ac:dyDescent="0.35">
      <c r="E71" s="2" t="str">
        <f t="shared" ref="E71:E81" si="4">"["&amp;ROW()-ROW($D$69)&amp;"]"</f>
        <v>[2]</v>
      </c>
      <c r="F71" s="51">
        <f>SystemModel!AL27</f>
        <v>-2.2737367544323206E-11</v>
      </c>
      <c r="G71" s="2" t="s">
        <v>42</v>
      </c>
      <c r="I71" s="11"/>
    </row>
    <row r="72" spans="1:15" ht="16.5" customHeight="1" x14ac:dyDescent="0.35">
      <c r="E72" s="2" t="str">
        <f t="shared" si="4"/>
        <v>[3]</v>
      </c>
      <c r="F72" s="51">
        <f>SystemModel!BN27</f>
        <v>-5.6843418860808015E-12</v>
      </c>
      <c r="G72" s="2" t="s">
        <v>42</v>
      </c>
      <c r="I72" s="11"/>
    </row>
    <row r="73" spans="1:15" ht="16.5" customHeight="1" x14ac:dyDescent="0.35">
      <c r="E73" s="2" t="str">
        <f t="shared" si="4"/>
        <v>[4]</v>
      </c>
      <c r="F73" s="51">
        <f>SystemModel!CP27</f>
        <v>-4.0927261579781771E-12</v>
      </c>
      <c r="G73" s="2" t="s">
        <v>42</v>
      </c>
    </row>
    <row r="74" spans="1:15" ht="16.5" customHeight="1" x14ac:dyDescent="0.35">
      <c r="E74" s="2" t="str">
        <f t="shared" si="4"/>
        <v>[5]</v>
      </c>
      <c r="F74" s="51">
        <f ca="1">SystemModel!DR27</f>
        <v>6.3664629124104977E-12</v>
      </c>
      <c r="G74" s="2" t="s">
        <v>42</v>
      </c>
    </row>
    <row r="75" spans="1:15" ht="16.5" customHeight="1" x14ac:dyDescent="0.35">
      <c r="E75" s="2" t="str">
        <f t="shared" si="4"/>
        <v>[6]</v>
      </c>
      <c r="F75" s="51">
        <f>SystemModel!ET27</f>
        <v>0</v>
      </c>
      <c r="G75" s="2" t="s">
        <v>42</v>
      </c>
    </row>
    <row r="76" spans="1:15" ht="16.5" customHeight="1" x14ac:dyDescent="0.35">
      <c r="E76" s="2" t="str">
        <f t="shared" si="4"/>
        <v>[7]</v>
      </c>
      <c r="F76" s="51">
        <f>SystemModel!J58</f>
        <v>0</v>
      </c>
      <c r="G76" s="2" t="s">
        <v>42</v>
      </c>
    </row>
    <row r="77" spans="1:15" ht="16.5" customHeight="1" x14ac:dyDescent="0.35">
      <c r="E77" s="2" t="str">
        <f t="shared" si="4"/>
        <v>[8]</v>
      </c>
      <c r="F77" s="51">
        <f>SystemModel!AL58</f>
        <v>2.1032064978498966E-11</v>
      </c>
      <c r="G77" s="2" t="s">
        <v>42</v>
      </c>
    </row>
    <row r="78" spans="1:15" ht="16.5" customHeight="1" x14ac:dyDescent="0.35">
      <c r="E78" s="2" t="str">
        <f t="shared" si="4"/>
        <v>[9]</v>
      </c>
      <c r="F78" s="51">
        <f>SystemModel!BN58</f>
        <v>7.617018127348274E-12</v>
      </c>
      <c r="G78" s="2" t="s">
        <v>42</v>
      </c>
    </row>
    <row r="79" spans="1:15" ht="16.5" customHeight="1" x14ac:dyDescent="0.35">
      <c r="E79" s="2" t="str">
        <f t="shared" si="4"/>
        <v>[10]</v>
      </c>
      <c r="F79" s="51">
        <f>SystemModel!CP58</f>
        <v>5.9117155615240335E-12</v>
      </c>
      <c r="G79" s="2" t="s">
        <v>42</v>
      </c>
    </row>
    <row r="80" spans="1:15" ht="16.5" customHeight="1" x14ac:dyDescent="0.35">
      <c r="E80" s="2" t="str">
        <f t="shared" si="4"/>
        <v>[11]</v>
      </c>
      <c r="F80" s="51">
        <f>SystemModel!DR58</f>
        <v>4.8885340220294893E-12</v>
      </c>
      <c r="G80" s="2" t="s">
        <v>42</v>
      </c>
    </row>
    <row r="81" spans="3:7" ht="16.5" customHeight="1" x14ac:dyDescent="0.35">
      <c r="E81" s="2" t="str">
        <f t="shared" si="4"/>
        <v>[12]</v>
      </c>
      <c r="F81" s="51">
        <f>SystemModel!ET58</f>
        <v>0</v>
      </c>
      <c r="G81" s="2" t="s">
        <v>42</v>
      </c>
    </row>
    <row r="82" spans="3:7" ht="16.5" customHeight="1" x14ac:dyDescent="0.35">
      <c r="C82" s="3" t="s">
        <v>44</v>
      </c>
      <c r="D82" s="3" t="s">
        <v>10</v>
      </c>
      <c r="E82" s="3" t="s">
        <v>10</v>
      </c>
      <c r="F82" s="3" t="s">
        <v>44</v>
      </c>
      <c r="G82" s="2" t="s">
        <v>42</v>
      </c>
    </row>
    <row r="83" spans="3:7" ht="16.5" customHeight="1" x14ac:dyDescent="0.35">
      <c r="E83" s="3" t="s">
        <v>11</v>
      </c>
      <c r="F83" s="52">
        <f ca="1">SQRT(SUMSQ(F70:F82))</f>
        <v>3.414373663089399E-11</v>
      </c>
      <c r="G83" s="2" t="s">
        <v>42</v>
      </c>
    </row>
    <row r="84" spans="3:7" ht="16.5" customHeight="1" x14ac:dyDescent="0.35">
      <c r="C84" s="3" t="s">
        <v>10</v>
      </c>
      <c r="D84" s="3" t="s">
        <v>10</v>
      </c>
      <c r="E84" s="3" t="s">
        <v>10</v>
      </c>
      <c r="F84" s="3" t="s">
        <v>10</v>
      </c>
      <c r="G84" s="2" t="s">
        <v>42</v>
      </c>
    </row>
    <row r="85" spans="3:7" ht="16.5" customHeight="1" x14ac:dyDescent="0.35">
      <c r="D85" s="1" t="s">
        <v>9</v>
      </c>
      <c r="G85" s="2" t="s">
        <v>42</v>
      </c>
    </row>
    <row r="86" spans="3:7" ht="16.5" customHeight="1" x14ac:dyDescent="0.35">
      <c r="E86" s="2" t="str">
        <f>"["&amp;ROW()-ROW($D$85)&amp;"]"</f>
        <v>[1]</v>
      </c>
      <c r="F86" s="6">
        <v>8.9366307628343354E-14</v>
      </c>
      <c r="G86" s="2" t="s">
        <v>42</v>
      </c>
    </row>
    <row r="87" spans="3:7" ht="16.5" customHeight="1" x14ac:dyDescent="0.35">
      <c r="E87" s="2" t="str">
        <f t="shared" ref="E87:E97" si="5">"["&amp;ROW()-ROW($D$85)&amp;"]"</f>
        <v>[2]</v>
      </c>
      <c r="F87" s="6">
        <v>6.3893858826729743E-14</v>
      </c>
      <c r="G87" s="2" t="s">
        <v>42</v>
      </c>
    </row>
    <row r="88" spans="3:7" ht="16.5" customHeight="1" x14ac:dyDescent="0.35">
      <c r="E88" s="2" t="str">
        <f t="shared" si="5"/>
        <v>[3]</v>
      </c>
      <c r="F88" s="6">
        <v>1.5401449670401892E-14</v>
      </c>
      <c r="G88" s="2" t="s">
        <v>42</v>
      </c>
    </row>
    <row r="89" spans="3:7" ht="16.5" customHeight="1" x14ac:dyDescent="0.35">
      <c r="E89" s="2" t="str">
        <f t="shared" si="5"/>
        <v>[4]</v>
      </c>
      <c r="F89" s="6">
        <v>1.2382942892369081E-14</v>
      </c>
      <c r="G89" s="2" t="s">
        <v>42</v>
      </c>
    </row>
    <row r="90" spans="3:7" ht="16.5" customHeight="1" x14ac:dyDescent="0.35">
      <c r="E90" s="2" t="str">
        <f t="shared" si="5"/>
        <v>[5]</v>
      </c>
      <c r="F90" s="6">
        <v>1.8427256252084455E-13</v>
      </c>
      <c r="G90" s="2" t="s">
        <v>42</v>
      </c>
    </row>
    <row r="91" spans="3:7" ht="16.5" customHeight="1" x14ac:dyDescent="0.35">
      <c r="E91" s="2" t="str">
        <f t="shared" si="5"/>
        <v>[6]</v>
      </c>
      <c r="F91" s="6">
        <v>1.8427256210105039E-13</v>
      </c>
      <c r="G91" s="2" t="s">
        <v>42</v>
      </c>
    </row>
    <row r="92" spans="3:7" ht="16.5" customHeight="1" x14ac:dyDescent="0.35">
      <c r="E92" s="2" t="str">
        <f t="shared" si="5"/>
        <v>[7]</v>
      </c>
      <c r="F92" s="6">
        <v>-3.9183943345104885E-11</v>
      </c>
      <c r="G92" s="2" t="s">
        <v>42</v>
      </c>
    </row>
    <row r="93" spans="3:7" ht="16.5" customHeight="1" x14ac:dyDescent="0.35">
      <c r="E93" s="2" t="str">
        <f t="shared" si="5"/>
        <v>[8]</v>
      </c>
      <c r="F93" s="6">
        <v>-2.9736377129169027E-9</v>
      </c>
      <c r="G93" s="2" t="s">
        <v>42</v>
      </c>
    </row>
    <row r="94" spans="3:7" ht="16.5" customHeight="1" x14ac:dyDescent="0.35">
      <c r="E94" s="2" t="str">
        <f t="shared" si="5"/>
        <v>[9]</v>
      </c>
      <c r="F94" s="6">
        <v>-6.100334881337989E-9</v>
      </c>
      <c r="G94" s="2" t="s">
        <v>42</v>
      </c>
    </row>
    <row r="95" spans="3:7" ht="16.5" customHeight="1" x14ac:dyDescent="0.35">
      <c r="E95" s="2" t="str">
        <f t="shared" si="5"/>
        <v>[10]</v>
      </c>
      <c r="F95" s="6">
        <v>-2.9344843752355129E-9</v>
      </c>
      <c r="G95" s="2" t="s">
        <v>42</v>
      </c>
    </row>
    <row r="96" spans="3:7" ht="16.5" customHeight="1" x14ac:dyDescent="0.35">
      <c r="E96" s="2" t="str">
        <f t="shared" si="5"/>
        <v>[11]</v>
      </c>
      <c r="F96" s="6">
        <v>2.9528697349953232E-9</v>
      </c>
      <c r="G96" s="2" t="s">
        <v>42</v>
      </c>
    </row>
    <row r="97" spans="3:7" ht="16.5" customHeight="1" x14ac:dyDescent="0.35">
      <c r="E97" s="2" t="str">
        <f t="shared" si="5"/>
        <v>[12]</v>
      </c>
      <c r="F97" s="6">
        <v>2.9528697349953232E-9</v>
      </c>
      <c r="G97" s="2" t="s">
        <v>42</v>
      </c>
    </row>
    <row r="98" spans="3:7" ht="16.5" customHeight="1" x14ac:dyDescent="0.35">
      <c r="C98" s="3" t="s">
        <v>44</v>
      </c>
      <c r="D98" s="3" t="s">
        <v>10</v>
      </c>
      <c r="E98" s="3" t="s">
        <v>10</v>
      </c>
      <c r="F98" s="3" t="s">
        <v>44</v>
      </c>
      <c r="G98" s="2" t="s">
        <v>42</v>
      </c>
    </row>
    <row r="99" spans="3:7" ht="16.5" customHeight="1" x14ac:dyDescent="0.35">
      <c r="D99" s="2" t="s">
        <v>40</v>
      </c>
      <c r="G99" s="2" t="s">
        <v>42</v>
      </c>
    </row>
    <row r="100" spans="3:7" ht="16.5" customHeight="1" x14ac:dyDescent="0.35">
      <c r="E100" s="2" t="str">
        <f>"["&amp;ROW()-ROW($D$99)&amp;"]"</f>
        <v>[1]</v>
      </c>
      <c r="F100" s="6">
        <v>1299.4632633383717</v>
      </c>
      <c r="G100" s="2" t="s">
        <v>42</v>
      </c>
    </row>
    <row r="101" spans="3:7" ht="16.5" customHeight="1" x14ac:dyDescent="0.35">
      <c r="E101" s="2" t="str">
        <f t="shared" ref="E101:E111" si="6">"["&amp;ROW()-ROW($D$99)&amp;"]"</f>
        <v>[2]</v>
      </c>
      <c r="F101" s="6">
        <v>1234.6059945580828</v>
      </c>
      <c r="G101" s="2" t="s">
        <v>42</v>
      </c>
    </row>
    <row r="102" spans="3:7" ht="16.5" customHeight="1" x14ac:dyDescent="0.35">
      <c r="E102" s="2" t="str">
        <f t="shared" si="6"/>
        <v>[3]</v>
      </c>
      <c r="F102" s="6">
        <v>1264.0837937286185</v>
      </c>
      <c r="G102" s="2" t="s">
        <v>42</v>
      </c>
    </row>
    <row r="103" spans="3:7" ht="16.5" customHeight="1" x14ac:dyDescent="0.35">
      <c r="E103" s="2" t="str">
        <f t="shared" si="6"/>
        <v>[4]</v>
      </c>
      <c r="F103" s="6">
        <v>1101.279435425686</v>
      </c>
      <c r="G103" s="2" t="s">
        <v>42</v>
      </c>
    </row>
    <row r="104" spans="3:7" ht="16.5" customHeight="1" x14ac:dyDescent="0.35">
      <c r="E104" s="2" t="str">
        <f t="shared" si="6"/>
        <v>[5]</v>
      </c>
      <c r="F104" s="6">
        <v>1032.9008462825741</v>
      </c>
      <c r="G104" s="2" t="s">
        <v>42</v>
      </c>
    </row>
    <row r="105" spans="3:7" ht="16.5" customHeight="1" x14ac:dyDescent="0.35">
      <c r="E105" s="2" t="str">
        <f t="shared" si="6"/>
        <v>[6]</v>
      </c>
      <c r="F105" s="6">
        <v>732.90084628257421</v>
      </c>
      <c r="G105" s="2" t="s">
        <v>42</v>
      </c>
    </row>
    <row r="106" spans="3:7" ht="16.5" customHeight="1" x14ac:dyDescent="0.35">
      <c r="E106" s="2" t="str">
        <f t="shared" si="6"/>
        <v>[7]</v>
      </c>
      <c r="F106" s="6">
        <v>799.57509936458564</v>
      </c>
      <c r="G106" s="2" t="s">
        <v>42</v>
      </c>
    </row>
    <row r="107" spans="3:7" ht="16.5" customHeight="1" x14ac:dyDescent="0.35">
      <c r="E107" s="2" t="str">
        <f t="shared" si="6"/>
        <v>[8]</v>
      </c>
      <c r="F107" s="6">
        <v>768.2686384396311</v>
      </c>
      <c r="G107" s="2" t="s">
        <v>42</v>
      </c>
    </row>
    <row r="108" spans="3:7" ht="16.5" customHeight="1" x14ac:dyDescent="0.35">
      <c r="E108" s="2" t="str">
        <f t="shared" si="6"/>
        <v>[9]</v>
      </c>
      <c r="F108" s="6">
        <v>930.09040903807204</v>
      </c>
      <c r="G108" s="2" t="s">
        <v>42</v>
      </c>
    </row>
    <row r="109" spans="3:7" ht="16.5" customHeight="1" x14ac:dyDescent="0.35">
      <c r="E109" s="2" t="str">
        <f t="shared" si="6"/>
        <v>[10]</v>
      </c>
      <c r="F109" s="6">
        <v>701.61461316270822</v>
      </c>
      <c r="G109" s="2" t="s">
        <v>42</v>
      </c>
    </row>
    <row r="110" spans="3:7" ht="16.5" customHeight="1" x14ac:dyDescent="0.35">
      <c r="E110" s="2" t="str">
        <f t="shared" si="6"/>
        <v>[11]</v>
      </c>
      <c r="F110" s="6">
        <v>668.11790667076457</v>
      </c>
      <c r="G110" s="2" t="s">
        <v>42</v>
      </c>
    </row>
    <row r="111" spans="3:7" ht="16.5" customHeight="1" x14ac:dyDescent="0.35">
      <c r="E111" s="2" t="str">
        <f t="shared" si="6"/>
        <v>[12]</v>
      </c>
      <c r="F111" s="6">
        <v>968.11790667076457</v>
      </c>
      <c r="G111" s="2" t="s">
        <v>42</v>
      </c>
    </row>
    <row r="112" spans="3:7" ht="16.5" customHeight="1" x14ac:dyDescent="0.35">
      <c r="C112" s="3" t="s">
        <v>44</v>
      </c>
      <c r="D112" s="3" t="s">
        <v>10</v>
      </c>
      <c r="E112" s="3" t="s">
        <v>10</v>
      </c>
      <c r="F112" s="3" t="s">
        <v>44</v>
      </c>
      <c r="G112" s="2" t="s">
        <v>42</v>
      </c>
    </row>
    <row r="113" spans="3:7" ht="16.5" customHeight="1" x14ac:dyDescent="0.35">
      <c r="D113" s="2" t="s">
        <v>41</v>
      </c>
      <c r="G113" s="2" t="s">
        <v>42</v>
      </c>
    </row>
    <row r="114" spans="3:7" ht="16.5" customHeight="1" x14ac:dyDescent="0.35">
      <c r="E114" s="2" t="str">
        <f>"["&amp;ROW()-ROW($D$113)&amp;"]"</f>
        <v>[1]</v>
      </c>
      <c r="F114" s="10">
        <v>-3.9362930692732334E-9</v>
      </c>
      <c r="G114" s="2" t="s">
        <v>42</v>
      </c>
    </row>
    <row r="115" spans="3:7" ht="16.5" customHeight="1" x14ac:dyDescent="0.35">
      <c r="E115" s="2" t="str">
        <f t="shared" ref="E115:E125" si="7">"["&amp;ROW()-ROW($D$113)&amp;"]"</f>
        <v>[2]</v>
      </c>
      <c r="F115" s="10">
        <v>-2.9737657314399257E-7</v>
      </c>
      <c r="G115" s="2" t="s">
        <v>42</v>
      </c>
    </row>
    <row r="116" spans="3:7" ht="16.5" customHeight="1" x14ac:dyDescent="0.35">
      <c r="E116" s="2" t="str">
        <f t="shared" si="7"/>
        <v>[3]</v>
      </c>
      <c r="F116" s="10">
        <v>-6.1003652263025288E-7</v>
      </c>
      <c r="G116" s="2" t="s">
        <v>42</v>
      </c>
    </row>
    <row r="117" spans="3:7" ht="16.5" customHeight="1" x14ac:dyDescent="0.35">
      <c r="E117" s="2" t="str">
        <f t="shared" si="7"/>
        <v>[4]</v>
      </c>
      <c r="F117" s="10">
        <v>-2.9345073926378973E-7</v>
      </c>
      <c r="G117" s="2" t="s">
        <v>42</v>
      </c>
    </row>
    <row r="118" spans="3:7" ht="16.5" customHeight="1" x14ac:dyDescent="0.35">
      <c r="E118" s="2" t="str">
        <f t="shared" si="7"/>
        <v>[5]</v>
      </c>
      <c r="F118" s="10">
        <v>2.9524994715757202E-7</v>
      </c>
      <c r="G118" s="2" t="s">
        <v>42</v>
      </c>
    </row>
    <row r="119" spans="3:7" ht="16.5" customHeight="1" x14ac:dyDescent="0.35">
      <c r="E119" s="2" t="str">
        <f t="shared" si="7"/>
        <v>[6]</v>
      </c>
      <c r="F119" s="10">
        <v>0</v>
      </c>
      <c r="G119" s="2" t="s">
        <v>42</v>
      </c>
    </row>
    <row r="120" spans="3:7" ht="16.5" customHeight="1" x14ac:dyDescent="0.35">
      <c r="E120" s="2" t="str">
        <f t="shared" si="7"/>
        <v>[7]</v>
      </c>
      <c r="F120" s="10">
        <v>4.9112713895738125E-9</v>
      </c>
      <c r="G120" s="2" t="s">
        <v>42</v>
      </c>
    </row>
    <row r="121" spans="3:7" ht="16.5" customHeight="1" x14ac:dyDescent="0.35">
      <c r="E121" s="2" t="str">
        <f t="shared" si="7"/>
        <v>[8]</v>
      </c>
      <c r="F121" s="10">
        <v>5.9454168876982294E-7</v>
      </c>
      <c r="G121" s="2" t="s">
        <v>42</v>
      </c>
    </row>
    <row r="122" spans="3:7" ht="16.5" customHeight="1" x14ac:dyDescent="0.35">
      <c r="E122" s="2" t="str">
        <f t="shared" si="7"/>
        <v>[9]</v>
      </c>
      <c r="F122" s="10">
        <v>1.2263610642548883E-6</v>
      </c>
      <c r="G122" s="2" t="s">
        <v>42</v>
      </c>
    </row>
    <row r="123" spans="3:7" ht="16.5" customHeight="1" x14ac:dyDescent="0.35">
      <c r="E123" s="2" t="str">
        <f t="shared" si="7"/>
        <v>[10]</v>
      </c>
      <c r="F123" s="10">
        <v>5.8961961713066557E-7</v>
      </c>
      <c r="G123" s="2" t="s">
        <v>42</v>
      </c>
    </row>
    <row r="124" spans="3:7" ht="16.5" customHeight="1" x14ac:dyDescent="0.35">
      <c r="E124" s="2" t="str">
        <f t="shared" si="7"/>
        <v>[11]</v>
      </c>
      <c r="F124" s="10">
        <v>-5.9644287375704153E-7</v>
      </c>
      <c r="G124" s="2" t="s">
        <v>42</v>
      </c>
    </row>
    <row r="125" spans="3:7" ht="16.5" customHeight="1" x14ac:dyDescent="0.35">
      <c r="E125" s="2" t="str">
        <f t="shared" si="7"/>
        <v>[12]</v>
      </c>
      <c r="F125" s="10">
        <v>0</v>
      </c>
      <c r="G125" s="2" t="s">
        <v>42</v>
      </c>
    </row>
    <row r="126" spans="3:7" ht="16.5" customHeight="1" x14ac:dyDescent="0.35">
      <c r="C126" s="3" t="s">
        <v>44</v>
      </c>
      <c r="D126" s="3" t="s">
        <v>10</v>
      </c>
      <c r="E126" s="3" t="s">
        <v>10</v>
      </c>
      <c r="F126" s="3" t="s">
        <v>44</v>
      </c>
      <c r="G126" s="2" t="s">
        <v>42</v>
      </c>
    </row>
    <row r="127" spans="3:7" ht="16.5" customHeight="1" x14ac:dyDescent="0.35">
      <c r="D127" s="2" t="s">
        <v>18</v>
      </c>
      <c r="G127" s="2" t="s">
        <v>42</v>
      </c>
    </row>
    <row r="128" spans="3:7" ht="16.5" customHeight="1" x14ac:dyDescent="0.35">
      <c r="E128" s="2" t="str">
        <f>"["&amp;ROW()-ROW($D$127)&amp;"]"</f>
        <v>[1]</v>
      </c>
      <c r="F128" s="10">
        <v>3.9362930692732334E-9</v>
      </c>
      <c r="G128" s="2" t="s">
        <v>42</v>
      </c>
    </row>
    <row r="129" spans="3:7" ht="16.5" customHeight="1" x14ac:dyDescent="0.35">
      <c r="E129" s="2" t="str">
        <f t="shared" ref="E129:E139" si="8">"["&amp;ROW()-ROW($D$127)&amp;"]"</f>
        <v>[2]</v>
      </c>
      <c r="F129" s="10">
        <v>2.9735383577644825E-7</v>
      </c>
      <c r="G129" s="2" t="s">
        <v>42</v>
      </c>
    </row>
    <row r="130" spans="3:7" ht="16.5" customHeight="1" x14ac:dyDescent="0.35">
      <c r="E130" s="2" t="str">
        <f t="shared" si="8"/>
        <v>[3]</v>
      </c>
      <c r="F130" s="10">
        <v>6.1003083828836679E-7</v>
      </c>
      <c r="G130" s="2" t="s">
        <v>42</v>
      </c>
    </row>
    <row r="131" spans="3:7" ht="16.5" customHeight="1" x14ac:dyDescent="0.35">
      <c r="E131" s="2" t="str">
        <f t="shared" si="8"/>
        <v>[4]</v>
      </c>
      <c r="F131" s="10">
        <v>2.9344664653763175E-7</v>
      </c>
      <c r="G131" s="2" t="s">
        <v>42</v>
      </c>
    </row>
    <row r="132" spans="3:7" ht="16.5" customHeight="1" x14ac:dyDescent="0.35">
      <c r="E132" s="2" t="str">
        <f t="shared" si="8"/>
        <v>[5]</v>
      </c>
      <c r="F132" s="10">
        <v>-2.9524358069465961E-7</v>
      </c>
      <c r="G132" s="2" t="s">
        <v>42</v>
      </c>
    </row>
    <row r="133" spans="3:7" ht="16.5" customHeight="1" x14ac:dyDescent="0.35">
      <c r="E133" s="2" t="str">
        <f t="shared" si="8"/>
        <v>[6]</v>
      </c>
      <c r="F133" s="10">
        <v>0</v>
      </c>
      <c r="G133" s="2" t="s">
        <v>42</v>
      </c>
    </row>
    <row r="134" spans="3:7" ht="16.5" customHeight="1" x14ac:dyDescent="0.35">
      <c r="E134" s="2" t="str">
        <f t="shared" si="8"/>
        <v>[7]</v>
      </c>
      <c r="F134" s="10">
        <v>-4.9112713895738125E-9</v>
      </c>
      <c r="G134" s="2" t="s">
        <v>42</v>
      </c>
    </row>
    <row r="135" spans="3:7" ht="16.5" customHeight="1" x14ac:dyDescent="0.35">
      <c r="E135" s="2" t="str">
        <f t="shared" si="8"/>
        <v>[8]</v>
      </c>
      <c r="F135" s="10">
        <v>-5.9452065670484444E-7</v>
      </c>
      <c r="G135" s="2" t="s">
        <v>42</v>
      </c>
    </row>
    <row r="136" spans="3:7" ht="16.5" customHeight="1" x14ac:dyDescent="0.35">
      <c r="E136" s="2" t="str">
        <f t="shared" si="8"/>
        <v>[9]</v>
      </c>
      <c r="F136" s="10">
        <v>-1.226353447236761E-6</v>
      </c>
      <c r="G136" s="2" t="s">
        <v>42</v>
      </c>
    </row>
    <row r="137" spans="3:7" ht="16.5" customHeight="1" x14ac:dyDescent="0.35">
      <c r="E137" s="2" t="str">
        <f t="shared" si="8"/>
        <v>[10]</v>
      </c>
      <c r="F137" s="10">
        <v>-5.8961370541510405E-7</v>
      </c>
      <c r="G137" s="2" t="s">
        <v>42</v>
      </c>
    </row>
    <row r="138" spans="3:7" ht="16.5" customHeight="1" x14ac:dyDescent="0.35">
      <c r="E138" s="2" t="str">
        <f t="shared" si="8"/>
        <v>[11]</v>
      </c>
      <c r="F138" s="10">
        <v>5.9644776229106355E-7</v>
      </c>
      <c r="G138" s="2" t="s">
        <v>42</v>
      </c>
    </row>
    <row r="139" spans="3:7" ht="16.5" customHeight="1" x14ac:dyDescent="0.35">
      <c r="E139" s="2" t="str">
        <f t="shared" si="8"/>
        <v>[12]</v>
      </c>
      <c r="F139" s="10">
        <v>0</v>
      </c>
      <c r="G139" s="2" t="s">
        <v>42</v>
      </c>
    </row>
    <row r="140" spans="3:7" ht="16.5" customHeight="1" x14ac:dyDescent="0.35">
      <c r="C140" s="3" t="s">
        <v>44</v>
      </c>
      <c r="D140" s="3" t="s">
        <v>10</v>
      </c>
      <c r="E140" s="3" t="s">
        <v>10</v>
      </c>
      <c r="F140" s="3" t="s">
        <v>44</v>
      </c>
      <c r="G140" s="2" t="s">
        <v>42</v>
      </c>
    </row>
    <row r="141" spans="3:7" ht="16.5" customHeight="1" x14ac:dyDescent="0.35">
      <c r="C141" s="1">
        <f>(COUNTA(E128:E140)-1)^2</f>
        <v>144</v>
      </c>
      <c r="D141" s="2" t="s">
        <v>22</v>
      </c>
      <c r="G141" s="2" t="s">
        <v>42</v>
      </c>
    </row>
    <row r="142" spans="3:7" ht="16.5" customHeight="1" x14ac:dyDescent="0.35">
      <c r="D142" s="1">
        <f>ROW()-ROW($D$141)</f>
        <v>1</v>
      </c>
      <c r="E142" s="2" t="s">
        <v>94</v>
      </c>
      <c r="F142" s="11">
        <v>200.99999986996409</v>
      </c>
      <c r="G142" s="2" t="s">
        <v>42</v>
      </c>
    </row>
    <row r="143" spans="3:7" ht="16.5" customHeight="1" x14ac:dyDescent="0.35">
      <c r="D143" s="1">
        <f t="shared" ref="D143:D206" si="9">ROW()-ROW($D$141)</f>
        <v>2</v>
      </c>
      <c r="E143" s="2" t="s">
        <v>95</v>
      </c>
      <c r="F143" s="11">
        <v>-0.99999997473787516</v>
      </c>
      <c r="G143" s="2" t="s">
        <v>42</v>
      </c>
    </row>
    <row r="144" spans="3:7" ht="16.5" customHeight="1" x14ac:dyDescent="0.35">
      <c r="D144" s="1">
        <f t="shared" si="9"/>
        <v>3</v>
      </c>
      <c r="E144" s="2" t="s">
        <v>96</v>
      </c>
      <c r="F144" s="11">
        <v>0</v>
      </c>
      <c r="G144" s="2" t="s">
        <v>42</v>
      </c>
    </row>
    <row r="145" spans="4:7" ht="16.5" customHeight="1" x14ac:dyDescent="0.35">
      <c r="D145" s="1">
        <f t="shared" si="9"/>
        <v>4</v>
      </c>
      <c r="E145" s="2" t="s">
        <v>97</v>
      </c>
      <c r="F145" s="11">
        <v>0</v>
      </c>
      <c r="G145" s="2" t="s">
        <v>42</v>
      </c>
    </row>
    <row r="146" spans="4:7" ht="16.5" customHeight="1" x14ac:dyDescent="0.35">
      <c r="D146" s="1">
        <f t="shared" si="9"/>
        <v>5</v>
      </c>
      <c r="E146" s="2" t="s">
        <v>98</v>
      </c>
      <c r="F146" s="11">
        <v>0</v>
      </c>
      <c r="G146" s="2" t="s">
        <v>42</v>
      </c>
    </row>
    <row r="147" spans="4:7" ht="16.5" customHeight="1" x14ac:dyDescent="0.35">
      <c r="D147" s="1">
        <f t="shared" si="9"/>
        <v>6</v>
      </c>
      <c r="E147" s="2" t="s">
        <v>99</v>
      </c>
      <c r="F147" s="11">
        <v>0</v>
      </c>
      <c r="G147" s="2" t="s">
        <v>42</v>
      </c>
    </row>
    <row r="148" spans="4:7" ht="16.5" customHeight="1" x14ac:dyDescent="0.35">
      <c r="D148" s="1">
        <f t="shared" si="9"/>
        <v>7</v>
      </c>
      <c r="E148" s="2" t="s">
        <v>100</v>
      </c>
      <c r="F148" s="11">
        <v>-100.00000002037268</v>
      </c>
      <c r="G148" s="2" t="s">
        <v>42</v>
      </c>
    </row>
    <row r="149" spans="4:7" ht="16.5" customHeight="1" x14ac:dyDescent="0.35">
      <c r="D149" s="1">
        <f t="shared" si="9"/>
        <v>8</v>
      </c>
      <c r="E149" s="2" t="s">
        <v>101</v>
      </c>
      <c r="F149" s="11">
        <v>0</v>
      </c>
      <c r="G149" s="2" t="s">
        <v>42</v>
      </c>
    </row>
    <row r="150" spans="4:7" ht="16.5" customHeight="1" x14ac:dyDescent="0.35">
      <c r="D150" s="1">
        <f t="shared" si="9"/>
        <v>9</v>
      </c>
      <c r="E150" s="2" t="s">
        <v>102</v>
      </c>
      <c r="F150" s="11">
        <v>0</v>
      </c>
      <c r="G150" s="2" t="s">
        <v>42</v>
      </c>
    </row>
    <row r="151" spans="4:7" ht="16.5" customHeight="1" x14ac:dyDescent="0.35">
      <c r="D151" s="1">
        <f t="shared" si="9"/>
        <v>10</v>
      </c>
      <c r="E151" s="2"/>
      <c r="F151" s="11">
        <v>0</v>
      </c>
      <c r="G151" s="2" t="s">
        <v>42</v>
      </c>
    </row>
    <row r="152" spans="4:7" ht="16.5" customHeight="1" x14ac:dyDescent="0.35">
      <c r="D152" s="1">
        <f t="shared" si="9"/>
        <v>11</v>
      </c>
      <c r="E152" s="2"/>
      <c r="F152" s="11">
        <v>0</v>
      </c>
      <c r="G152" s="2" t="s">
        <v>42</v>
      </c>
    </row>
    <row r="153" spans="4:7" ht="16.5" customHeight="1" x14ac:dyDescent="0.35">
      <c r="D153" s="1">
        <f t="shared" si="9"/>
        <v>12</v>
      </c>
      <c r="E153" s="2"/>
      <c r="F153" s="11">
        <v>0</v>
      </c>
      <c r="G153" s="2" t="s">
        <v>42</v>
      </c>
    </row>
    <row r="154" spans="4:7" ht="16.5" customHeight="1" x14ac:dyDescent="0.35">
      <c r="D154" s="1">
        <f t="shared" si="9"/>
        <v>13</v>
      </c>
      <c r="E154" s="2"/>
      <c r="F154" s="11">
        <v>-0.99999999974897946</v>
      </c>
      <c r="G154" s="2" t="s">
        <v>42</v>
      </c>
    </row>
    <row r="155" spans="4:7" ht="16.5" customHeight="1" x14ac:dyDescent="0.35">
      <c r="D155" s="1">
        <f t="shared" si="9"/>
        <v>14</v>
      </c>
      <c r="E155" s="2"/>
      <c r="F155" s="11">
        <v>201.99999994247264</v>
      </c>
      <c r="G155" s="2" t="s">
        <v>42</v>
      </c>
    </row>
    <row r="156" spans="4:7" ht="16.5" customHeight="1" x14ac:dyDescent="0.35">
      <c r="D156" s="1">
        <f t="shared" si="9"/>
        <v>15</v>
      </c>
      <c r="E156" s="2"/>
      <c r="F156" s="11">
        <v>-1.0000000474974513</v>
      </c>
      <c r="G156" s="2" t="s">
        <v>42</v>
      </c>
    </row>
    <row r="157" spans="4:7" ht="16.5" customHeight="1" x14ac:dyDescent="0.35">
      <c r="D157" s="1">
        <f t="shared" si="9"/>
        <v>16</v>
      </c>
      <c r="E157" s="2"/>
      <c r="F157" s="11">
        <v>0</v>
      </c>
      <c r="G157" s="2" t="s">
        <v>42</v>
      </c>
    </row>
    <row r="158" spans="4:7" ht="16.5" customHeight="1" x14ac:dyDescent="0.35">
      <c r="D158" s="1">
        <f t="shared" si="9"/>
        <v>17</v>
      </c>
      <c r="E158" s="2"/>
      <c r="F158" s="11">
        <v>0</v>
      </c>
      <c r="G158" s="2" t="s">
        <v>42</v>
      </c>
    </row>
    <row r="159" spans="4:7" ht="16.5" customHeight="1" x14ac:dyDescent="0.35">
      <c r="D159" s="1">
        <f t="shared" si="9"/>
        <v>18</v>
      </c>
      <c r="E159" s="2"/>
      <c r="F159" s="11">
        <v>0</v>
      </c>
      <c r="G159" s="2" t="s">
        <v>42</v>
      </c>
    </row>
    <row r="160" spans="4:7" ht="16.5" customHeight="1" x14ac:dyDescent="0.35">
      <c r="D160" s="1">
        <f t="shared" si="9"/>
        <v>19</v>
      </c>
      <c r="E160" s="2"/>
      <c r="F160" s="11">
        <v>0</v>
      </c>
      <c r="G160" s="2" t="s">
        <v>42</v>
      </c>
    </row>
    <row r="161" spans="4:7" ht="16.5" customHeight="1" x14ac:dyDescent="0.35">
      <c r="D161" s="1">
        <f t="shared" si="9"/>
        <v>20</v>
      </c>
      <c r="E161" s="2"/>
      <c r="F161" s="11">
        <v>-100.00000002037268</v>
      </c>
      <c r="G161" s="2" t="s">
        <v>42</v>
      </c>
    </row>
    <row r="162" spans="4:7" ht="16.5" customHeight="1" x14ac:dyDescent="0.35">
      <c r="D162" s="1">
        <f t="shared" si="9"/>
        <v>21</v>
      </c>
      <c r="E162" s="2"/>
      <c r="F162" s="11">
        <v>0</v>
      </c>
      <c r="G162" s="2" t="s">
        <v>42</v>
      </c>
    </row>
    <row r="163" spans="4:7" ht="16.5" customHeight="1" x14ac:dyDescent="0.35">
      <c r="D163" s="1">
        <f t="shared" si="9"/>
        <v>22</v>
      </c>
      <c r="E163" s="2"/>
      <c r="F163" s="11">
        <v>0</v>
      </c>
      <c r="G163" s="2" t="s">
        <v>42</v>
      </c>
    </row>
    <row r="164" spans="4:7" ht="16.5" customHeight="1" x14ac:dyDescent="0.35">
      <c r="D164" s="1">
        <f t="shared" si="9"/>
        <v>23</v>
      </c>
      <c r="E164" s="2"/>
      <c r="F164" s="11">
        <v>0</v>
      </c>
      <c r="G164" s="2" t="s">
        <v>42</v>
      </c>
    </row>
    <row r="165" spans="4:7" ht="16.5" customHeight="1" x14ac:dyDescent="0.35">
      <c r="D165" s="1">
        <f t="shared" si="9"/>
        <v>24</v>
      </c>
      <c r="E165" s="2"/>
      <c r="F165" s="11">
        <v>0</v>
      </c>
      <c r="G165" s="2" t="s">
        <v>42</v>
      </c>
    </row>
    <row r="166" spans="4:7" ht="16.5" customHeight="1" x14ac:dyDescent="0.35">
      <c r="D166" s="1">
        <f t="shared" si="9"/>
        <v>25</v>
      </c>
      <c r="E166" s="2"/>
      <c r="F166" s="11">
        <v>0</v>
      </c>
      <c r="G166" s="2" t="s">
        <v>42</v>
      </c>
    </row>
    <row r="167" spans="4:7" ht="16.5" customHeight="1" x14ac:dyDescent="0.35">
      <c r="D167" s="1">
        <f t="shared" si="9"/>
        <v>26</v>
      </c>
      <c r="E167" s="2"/>
      <c r="F167" s="11">
        <v>-0.99999999974897946</v>
      </c>
      <c r="G167" s="2" t="s">
        <v>42</v>
      </c>
    </row>
    <row r="168" spans="4:7" ht="16.5" customHeight="1" x14ac:dyDescent="0.35">
      <c r="D168" s="1">
        <f t="shared" si="9"/>
        <v>27</v>
      </c>
      <c r="E168" s="2"/>
      <c r="F168" s="11">
        <v>202.00000001523222</v>
      </c>
      <c r="G168" s="2" t="s">
        <v>42</v>
      </c>
    </row>
    <row r="169" spans="4:7" ht="16.5" customHeight="1" x14ac:dyDescent="0.35">
      <c r="D169" s="1">
        <f t="shared" si="9"/>
        <v>28</v>
      </c>
      <c r="E169" s="2"/>
      <c r="F169" s="11">
        <v>-1.0000000474974513</v>
      </c>
      <c r="G169" s="2" t="s">
        <v>42</v>
      </c>
    </row>
    <row r="170" spans="4:7" ht="16.5" customHeight="1" x14ac:dyDescent="0.35">
      <c r="D170" s="1">
        <f t="shared" si="9"/>
        <v>29</v>
      </c>
      <c r="E170" s="2"/>
      <c r="F170" s="11">
        <v>0</v>
      </c>
      <c r="G170" s="2" t="s">
        <v>42</v>
      </c>
    </row>
    <row r="171" spans="4:7" ht="16.5" customHeight="1" x14ac:dyDescent="0.35">
      <c r="D171" s="1">
        <f t="shared" si="9"/>
        <v>30</v>
      </c>
      <c r="E171" s="2"/>
      <c r="F171" s="11">
        <v>0</v>
      </c>
      <c r="G171" s="2" t="s">
        <v>42</v>
      </c>
    </row>
    <row r="172" spans="4:7" ht="16.5" customHeight="1" x14ac:dyDescent="0.35">
      <c r="D172" s="1">
        <f t="shared" si="9"/>
        <v>31</v>
      </c>
      <c r="E172" s="2"/>
      <c r="F172" s="11">
        <v>0</v>
      </c>
      <c r="G172" s="2" t="s">
        <v>42</v>
      </c>
    </row>
    <row r="173" spans="4:7" ht="16.5" customHeight="1" x14ac:dyDescent="0.35">
      <c r="D173" s="1">
        <f t="shared" si="9"/>
        <v>32</v>
      </c>
      <c r="E173" s="2"/>
      <c r="F173" s="11">
        <v>0</v>
      </c>
      <c r="G173" s="2" t="s">
        <v>42</v>
      </c>
    </row>
    <row r="174" spans="4:7" ht="16.5" customHeight="1" x14ac:dyDescent="0.35">
      <c r="D174" s="1">
        <f t="shared" si="9"/>
        <v>33</v>
      </c>
      <c r="E174" s="2"/>
      <c r="F174" s="11">
        <v>-99.999999947613105</v>
      </c>
      <c r="G174" s="2" t="s">
        <v>42</v>
      </c>
    </row>
    <row r="175" spans="4:7" ht="16.5" customHeight="1" x14ac:dyDescent="0.35">
      <c r="D175" s="1">
        <f t="shared" si="9"/>
        <v>34</v>
      </c>
      <c r="E175" s="2"/>
      <c r="F175" s="11">
        <v>0</v>
      </c>
      <c r="G175" s="2" t="s">
        <v>42</v>
      </c>
    </row>
    <row r="176" spans="4:7" ht="16.5" customHeight="1" x14ac:dyDescent="0.35">
      <c r="D176" s="1">
        <f t="shared" si="9"/>
        <v>35</v>
      </c>
      <c r="E176" s="2"/>
      <c r="F176" s="11">
        <v>0</v>
      </c>
      <c r="G176" s="2" t="s">
        <v>42</v>
      </c>
    </row>
    <row r="177" spans="4:7" ht="16.5" customHeight="1" x14ac:dyDescent="0.35">
      <c r="D177" s="1">
        <f t="shared" si="9"/>
        <v>36</v>
      </c>
      <c r="E177" s="2"/>
      <c r="F177" s="11">
        <v>0</v>
      </c>
      <c r="G177" s="2" t="s">
        <v>42</v>
      </c>
    </row>
    <row r="178" spans="4:7" ht="16.5" customHeight="1" x14ac:dyDescent="0.35">
      <c r="D178" s="1">
        <f t="shared" si="9"/>
        <v>37</v>
      </c>
      <c r="E178" s="2"/>
      <c r="F178" s="11">
        <v>0</v>
      </c>
      <c r="G178" s="2" t="s">
        <v>42</v>
      </c>
    </row>
    <row r="179" spans="4:7" ht="16.5" customHeight="1" x14ac:dyDescent="0.35">
      <c r="D179" s="1">
        <f t="shared" si="9"/>
        <v>38</v>
      </c>
      <c r="E179" s="2"/>
      <c r="F179" s="11">
        <v>0</v>
      </c>
      <c r="G179" s="2" t="s">
        <v>42</v>
      </c>
    </row>
    <row r="180" spans="4:7" ht="16.5" customHeight="1" x14ac:dyDescent="0.35">
      <c r="D180" s="1">
        <f t="shared" si="9"/>
        <v>39</v>
      </c>
      <c r="E180" s="2"/>
      <c r="F180" s="11">
        <v>-0.99999999974897946</v>
      </c>
      <c r="G180" s="2" t="s">
        <v>42</v>
      </c>
    </row>
    <row r="181" spans="4:7" ht="16.5" customHeight="1" x14ac:dyDescent="0.35">
      <c r="D181" s="1">
        <f t="shared" si="9"/>
        <v>40</v>
      </c>
      <c r="E181" s="2"/>
      <c r="F181" s="11">
        <v>201.99999986971306</v>
      </c>
      <c r="G181" s="2" t="s">
        <v>42</v>
      </c>
    </row>
    <row r="182" spans="4:7" ht="16.5" customHeight="1" x14ac:dyDescent="0.35">
      <c r="D182" s="1">
        <f t="shared" si="9"/>
        <v>41</v>
      </c>
      <c r="E182" s="2"/>
      <c r="F182" s="11">
        <v>-0.99999997473787516</v>
      </c>
      <c r="G182" s="2" t="s">
        <v>42</v>
      </c>
    </row>
    <row r="183" spans="4:7" ht="16.5" customHeight="1" x14ac:dyDescent="0.35">
      <c r="D183" s="1">
        <f t="shared" si="9"/>
        <v>42</v>
      </c>
      <c r="E183" s="2"/>
      <c r="F183" s="11">
        <v>0</v>
      </c>
      <c r="G183" s="2" t="s">
        <v>42</v>
      </c>
    </row>
    <row r="184" spans="4:7" ht="16.5" customHeight="1" x14ac:dyDescent="0.35">
      <c r="D184" s="1">
        <f t="shared" si="9"/>
        <v>43</v>
      </c>
      <c r="E184" s="2"/>
      <c r="F184" s="11">
        <v>0</v>
      </c>
      <c r="G184" s="2" t="s">
        <v>42</v>
      </c>
    </row>
    <row r="185" spans="4:7" ht="16.5" customHeight="1" x14ac:dyDescent="0.35">
      <c r="D185" s="1">
        <f t="shared" si="9"/>
        <v>44</v>
      </c>
      <c r="E185" s="2"/>
      <c r="F185" s="11">
        <v>0</v>
      </c>
      <c r="G185" s="2" t="s">
        <v>42</v>
      </c>
    </row>
    <row r="186" spans="4:7" ht="16.5" customHeight="1" x14ac:dyDescent="0.35">
      <c r="D186" s="1">
        <f t="shared" si="9"/>
        <v>45</v>
      </c>
      <c r="E186" s="2"/>
      <c r="F186" s="11">
        <v>0</v>
      </c>
      <c r="G186" s="2" t="s">
        <v>42</v>
      </c>
    </row>
    <row r="187" spans="4:7" ht="16.5" customHeight="1" x14ac:dyDescent="0.35">
      <c r="D187" s="1">
        <f t="shared" si="9"/>
        <v>46</v>
      </c>
      <c r="E187" s="2"/>
      <c r="F187" s="11">
        <v>-100.00000002037268</v>
      </c>
      <c r="G187" s="2" t="s">
        <v>42</v>
      </c>
    </row>
    <row r="188" spans="4:7" ht="16.5" customHeight="1" x14ac:dyDescent="0.35">
      <c r="D188" s="1">
        <f t="shared" si="9"/>
        <v>47</v>
      </c>
      <c r="E188" s="2"/>
      <c r="F188" s="11">
        <v>0</v>
      </c>
      <c r="G188" s="2" t="s">
        <v>42</v>
      </c>
    </row>
    <row r="189" spans="4:7" ht="16.5" customHeight="1" x14ac:dyDescent="0.35">
      <c r="D189" s="1">
        <f t="shared" si="9"/>
        <v>48</v>
      </c>
      <c r="E189" s="2"/>
      <c r="F189" s="11">
        <v>0</v>
      </c>
      <c r="G189" s="2" t="s">
        <v>42</v>
      </c>
    </row>
    <row r="190" spans="4:7" ht="16.5" customHeight="1" x14ac:dyDescent="0.35">
      <c r="D190" s="1">
        <f t="shared" si="9"/>
        <v>49</v>
      </c>
      <c r="E190" s="2"/>
      <c r="F190" s="11">
        <v>0</v>
      </c>
      <c r="G190" s="2" t="s">
        <v>42</v>
      </c>
    </row>
    <row r="191" spans="4:7" ht="16.5" customHeight="1" x14ac:dyDescent="0.35">
      <c r="D191" s="1">
        <f t="shared" si="9"/>
        <v>50</v>
      </c>
      <c r="E191" s="2"/>
      <c r="F191" s="11">
        <v>0</v>
      </c>
      <c r="G191" s="2" t="s">
        <v>42</v>
      </c>
    </row>
    <row r="192" spans="4:7" ht="16.5" customHeight="1" x14ac:dyDescent="0.35">
      <c r="D192" s="1">
        <f t="shared" si="9"/>
        <v>51</v>
      </c>
      <c r="E192" s="2"/>
      <c r="F192" s="11">
        <v>0</v>
      </c>
      <c r="G192" s="2" t="s">
        <v>42</v>
      </c>
    </row>
    <row r="193" spans="4:7" ht="16.5" customHeight="1" x14ac:dyDescent="0.35">
      <c r="D193" s="1">
        <f t="shared" si="9"/>
        <v>52</v>
      </c>
      <c r="E193" s="2"/>
      <c r="F193" s="11">
        <v>-0.99999999974897946</v>
      </c>
      <c r="G193" s="2" t="s">
        <v>42</v>
      </c>
    </row>
    <row r="194" spans="4:7" ht="16.5" customHeight="1" x14ac:dyDescent="0.35">
      <c r="D194" s="1">
        <f t="shared" si="9"/>
        <v>53</v>
      </c>
      <c r="E194" s="2"/>
      <c r="F194" s="11">
        <v>201.99999994247264</v>
      </c>
      <c r="G194" s="2" t="s">
        <v>42</v>
      </c>
    </row>
    <row r="195" spans="4:7" ht="16.5" customHeight="1" x14ac:dyDescent="0.35">
      <c r="D195" s="1">
        <f t="shared" si="9"/>
        <v>54</v>
      </c>
      <c r="E195" s="2"/>
      <c r="F195" s="11">
        <v>-0.99999997473787516</v>
      </c>
      <c r="G195" s="2" t="s">
        <v>42</v>
      </c>
    </row>
    <row r="196" spans="4:7" ht="16.5" customHeight="1" x14ac:dyDescent="0.35">
      <c r="D196" s="1">
        <f t="shared" si="9"/>
        <v>55</v>
      </c>
      <c r="E196" s="2"/>
      <c r="F196" s="11">
        <v>0</v>
      </c>
      <c r="G196" s="2" t="s">
        <v>42</v>
      </c>
    </row>
    <row r="197" spans="4:7" ht="16.5" customHeight="1" x14ac:dyDescent="0.35">
      <c r="D197" s="1">
        <f t="shared" si="9"/>
        <v>56</v>
      </c>
      <c r="E197" s="2"/>
      <c r="F197" s="11">
        <v>0</v>
      </c>
      <c r="G197" s="2" t="s">
        <v>42</v>
      </c>
    </row>
    <row r="198" spans="4:7" ht="16.5" customHeight="1" x14ac:dyDescent="0.35">
      <c r="D198" s="1">
        <f t="shared" si="9"/>
        <v>57</v>
      </c>
      <c r="E198" s="2"/>
      <c r="F198" s="11">
        <v>0</v>
      </c>
      <c r="G198" s="2" t="s">
        <v>42</v>
      </c>
    </row>
    <row r="199" spans="4:7" ht="16.5" customHeight="1" x14ac:dyDescent="0.35">
      <c r="D199" s="1">
        <f t="shared" si="9"/>
        <v>58</v>
      </c>
      <c r="E199" s="2"/>
      <c r="F199" s="11">
        <v>0</v>
      </c>
      <c r="G199" s="2" t="s">
        <v>42</v>
      </c>
    </row>
    <row r="200" spans="4:7" ht="16.5" customHeight="1" x14ac:dyDescent="0.35">
      <c r="D200" s="1">
        <f t="shared" si="9"/>
        <v>59</v>
      </c>
      <c r="E200" s="2"/>
      <c r="F200" s="11">
        <v>-100.00000002037268</v>
      </c>
      <c r="G200" s="2" t="s">
        <v>42</v>
      </c>
    </row>
    <row r="201" spans="4:7" ht="16.5" customHeight="1" x14ac:dyDescent="0.35">
      <c r="D201" s="1">
        <f t="shared" si="9"/>
        <v>60</v>
      </c>
      <c r="E201" s="2"/>
      <c r="F201" s="11">
        <v>0</v>
      </c>
      <c r="G201" s="2" t="s">
        <v>42</v>
      </c>
    </row>
    <row r="202" spans="4:7" ht="16.5" customHeight="1" x14ac:dyDescent="0.35">
      <c r="D202" s="1">
        <f t="shared" si="9"/>
        <v>61</v>
      </c>
      <c r="E202" s="2"/>
      <c r="F202" s="11">
        <v>0</v>
      </c>
      <c r="G202" s="2" t="s">
        <v>42</v>
      </c>
    </row>
    <row r="203" spans="4:7" ht="16.5" customHeight="1" x14ac:dyDescent="0.35">
      <c r="D203" s="1">
        <f t="shared" si="9"/>
        <v>62</v>
      </c>
      <c r="E203" s="2"/>
      <c r="F203" s="11">
        <v>0</v>
      </c>
      <c r="G203" s="2" t="s">
        <v>42</v>
      </c>
    </row>
    <row r="204" spans="4:7" ht="16.5" customHeight="1" x14ac:dyDescent="0.35">
      <c r="D204" s="1">
        <f t="shared" si="9"/>
        <v>63</v>
      </c>
      <c r="E204" s="2"/>
      <c r="F204" s="11">
        <v>0</v>
      </c>
      <c r="G204" s="2" t="s">
        <v>42</v>
      </c>
    </row>
    <row r="205" spans="4:7" ht="16.5" customHeight="1" x14ac:dyDescent="0.35">
      <c r="D205" s="1">
        <f t="shared" si="9"/>
        <v>64</v>
      </c>
      <c r="E205" s="2"/>
      <c r="F205" s="11">
        <v>0</v>
      </c>
      <c r="G205" s="2" t="s">
        <v>42</v>
      </c>
    </row>
    <row r="206" spans="4:7" ht="16.5" customHeight="1" x14ac:dyDescent="0.35">
      <c r="D206" s="1">
        <f t="shared" si="9"/>
        <v>65</v>
      </c>
      <c r="E206" s="2"/>
      <c r="F206" s="11">
        <v>-0.99999999861211109</v>
      </c>
      <c r="G206" s="2" t="s">
        <v>42</v>
      </c>
    </row>
    <row r="207" spans="4:7" ht="16.5" customHeight="1" x14ac:dyDescent="0.35">
      <c r="D207" s="1">
        <f t="shared" ref="D207:D270" si="10">ROW()-ROW($D$141)</f>
        <v>66</v>
      </c>
      <c r="E207" s="2"/>
      <c r="F207" s="11">
        <v>1.0000000008858478</v>
      </c>
      <c r="G207" s="2" t="s">
        <v>42</v>
      </c>
    </row>
    <row r="208" spans="4:7" ht="16.5" customHeight="1" x14ac:dyDescent="0.35">
      <c r="D208" s="1">
        <f t="shared" si="10"/>
        <v>67</v>
      </c>
      <c r="E208" s="2"/>
      <c r="F208" s="11">
        <v>0</v>
      </c>
      <c r="G208" s="2" t="s">
        <v>42</v>
      </c>
    </row>
    <row r="209" spans="4:7" ht="16.5" customHeight="1" x14ac:dyDescent="0.35">
      <c r="D209" s="1">
        <f t="shared" si="10"/>
        <v>68</v>
      </c>
      <c r="E209" s="2"/>
      <c r="F209" s="11">
        <v>0</v>
      </c>
      <c r="G209" s="2" t="s">
        <v>42</v>
      </c>
    </row>
    <row r="210" spans="4:7" ht="16.5" customHeight="1" x14ac:dyDescent="0.35">
      <c r="D210" s="1">
        <f t="shared" si="10"/>
        <v>69</v>
      </c>
      <c r="E210" s="2"/>
      <c r="F210" s="11">
        <v>0</v>
      </c>
      <c r="G210" s="2" t="s">
        <v>42</v>
      </c>
    </row>
    <row r="211" spans="4:7" ht="16.5" customHeight="1" x14ac:dyDescent="0.35">
      <c r="D211" s="1">
        <f t="shared" si="10"/>
        <v>70</v>
      </c>
      <c r="E211" s="2"/>
      <c r="F211" s="11">
        <v>0</v>
      </c>
      <c r="G211" s="2" t="s">
        <v>42</v>
      </c>
    </row>
    <row r="212" spans="4:7" ht="16.5" customHeight="1" x14ac:dyDescent="0.35">
      <c r="D212" s="1">
        <f t="shared" si="10"/>
        <v>71</v>
      </c>
      <c r="E212" s="2"/>
      <c r="F212" s="11">
        <v>0</v>
      </c>
      <c r="G212" s="2" t="s">
        <v>42</v>
      </c>
    </row>
    <row r="213" spans="4:7" ht="16.5" customHeight="1" x14ac:dyDescent="0.35">
      <c r="D213" s="1">
        <f t="shared" si="10"/>
        <v>72</v>
      </c>
      <c r="E213" s="2"/>
      <c r="F213" s="11">
        <v>0</v>
      </c>
      <c r="G213" s="2" t="s">
        <v>42</v>
      </c>
    </row>
    <row r="214" spans="4:7" ht="16.5" customHeight="1" x14ac:dyDescent="0.35">
      <c r="D214" s="1">
        <f t="shared" si="10"/>
        <v>73</v>
      </c>
      <c r="E214" s="2"/>
      <c r="F214" s="11">
        <v>-99.999999947613105</v>
      </c>
      <c r="G214" s="2" t="s">
        <v>42</v>
      </c>
    </row>
    <row r="215" spans="4:7" ht="16.5" customHeight="1" x14ac:dyDescent="0.35">
      <c r="D215" s="1">
        <f t="shared" si="10"/>
        <v>74</v>
      </c>
      <c r="E215" s="2"/>
      <c r="F215" s="11">
        <v>0</v>
      </c>
      <c r="G215" s="2" t="s">
        <v>42</v>
      </c>
    </row>
    <row r="216" spans="4:7" ht="16.5" customHeight="1" x14ac:dyDescent="0.35">
      <c r="D216" s="1">
        <f t="shared" si="10"/>
        <v>75</v>
      </c>
      <c r="E216" s="2"/>
      <c r="F216" s="11">
        <v>0</v>
      </c>
      <c r="G216" s="2" t="s">
        <v>42</v>
      </c>
    </row>
    <row r="217" spans="4:7" ht="16.5" customHeight="1" x14ac:dyDescent="0.35">
      <c r="D217" s="1">
        <f t="shared" si="10"/>
        <v>76</v>
      </c>
      <c r="E217" s="2"/>
      <c r="F217" s="11">
        <v>0</v>
      </c>
      <c r="G217" s="2" t="s">
        <v>42</v>
      </c>
    </row>
    <row r="218" spans="4:7" ht="16.5" customHeight="1" x14ac:dyDescent="0.35">
      <c r="D218" s="1">
        <f t="shared" si="10"/>
        <v>77</v>
      </c>
      <c r="E218" s="2"/>
      <c r="F218" s="11">
        <v>0</v>
      </c>
      <c r="G218" s="2" t="s">
        <v>42</v>
      </c>
    </row>
    <row r="219" spans="4:7" ht="16.5" customHeight="1" x14ac:dyDescent="0.35">
      <c r="D219" s="1">
        <f t="shared" si="10"/>
        <v>78</v>
      </c>
      <c r="E219" s="2"/>
      <c r="F219" s="11">
        <v>0</v>
      </c>
      <c r="G219" s="2" t="s">
        <v>42</v>
      </c>
    </row>
    <row r="220" spans="4:7" ht="16.5" customHeight="1" x14ac:dyDescent="0.35">
      <c r="D220" s="1">
        <f t="shared" si="10"/>
        <v>79</v>
      </c>
      <c r="E220" s="2"/>
      <c r="F220" s="11">
        <v>201.00000001548324</v>
      </c>
      <c r="G220" s="2" t="s">
        <v>42</v>
      </c>
    </row>
    <row r="221" spans="4:7" ht="16.5" customHeight="1" x14ac:dyDescent="0.35">
      <c r="D221" s="1">
        <f t="shared" si="10"/>
        <v>80</v>
      </c>
      <c r="E221" s="2"/>
      <c r="F221" s="11">
        <v>-1.0000000474974513</v>
      </c>
      <c r="G221" s="2" t="s">
        <v>42</v>
      </c>
    </row>
    <row r="222" spans="4:7" ht="16.5" customHeight="1" x14ac:dyDescent="0.35">
      <c r="D222" s="1">
        <f t="shared" si="10"/>
        <v>81</v>
      </c>
      <c r="E222" s="2"/>
      <c r="F222" s="11">
        <v>0</v>
      </c>
      <c r="G222" s="2" t="s">
        <v>42</v>
      </c>
    </row>
    <row r="223" spans="4:7" ht="16.5" customHeight="1" x14ac:dyDescent="0.35">
      <c r="D223" s="1">
        <f t="shared" si="10"/>
        <v>82</v>
      </c>
      <c r="E223" s="2"/>
      <c r="F223" s="11">
        <v>0</v>
      </c>
      <c r="G223" s="2" t="s">
        <v>42</v>
      </c>
    </row>
    <row r="224" spans="4:7" ht="16.5" customHeight="1" x14ac:dyDescent="0.35">
      <c r="D224" s="1">
        <f t="shared" si="10"/>
        <v>83</v>
      </c>
      <c r="E224" s="2"/>
      <c r="F224" s="11">
        <v>0</v>
      </c>
      <c r="G224" s="2" t="s">
        <v>42</v>
      </c>
    </row>
    <row r="225" spans="4:7" ht="16.5" customHeight="1" x14ac:dyDescent="0.35">
      <c r="D225" s="1">
        <f t="shared" si="10"/>
        <v>84</v>
      </c>
      <c r="E225" s="2"/>
      <c r="F225" s="11">
        <v>0</v>
      </c>
      <c r="G225" s="2" t="s">
        <v>42</v>
      </c>
    </row>
    <row r="226" spans="4:7" ht="16.5" customHeight="1" x14ac:dyDescent="0.35">
      <c r="D226" s="1">
        <f t="shared" si="10"/>
        <v>85</v>
      </c>
      <c r="E226" s="2"/>
      <c r="F226" s="11">
        <v>0</v>
      </c>
      <c r="G226" s="2" t="s">
        <v>42</v>
      </c>
    </row>
    <row r="227" spans="4:7" ht="16.5" customHeight="1" x14ac:dyDescent="0.35">
      <c r="D227" s="1">
        <f t="shared" si="10"/>
        <v>86</v>
      </c>
      <c r="E227" s="2"/>
      <c r="F227" s="11">
        <v>-99.999999947613105</v>
      </c>
      <c r="G227" s="2" t="s">
        <v>42</v>
      </c>
    </row>
    <row r="228" spans="4:7" ht="16.5" customHeight="1" x14ac:dyDescent="0.35">
      <c r="D228" s="1">
        <f t="shared" si="10"/>
        <v>87</v>
      </c>
      <c r="E228" s="2"/>
      <c r="F228" s="11">
        <v>0</v>
      </c>
      <c r="G228" s="2" t="s">
        <v>42</v>
      </c>
    </row>
    <row r="229" spans="4:7" ht="16.5" customHeight="1" x14ac:dyDescent="0.35">
      <c r="D229" s="1">
        <f t="shared" si="10"/>
        <v>88</v>
      </c>
      <c r="E229" s="2"/>
      <c r="F229" s="11">
        <v>0</v>
      </c>
      <c r="G229" s="2" t="s">
        <v>42</v>
      </c>
    </row>
    <row r="230" spans="4:7" ht="16.5" customHeight="1" x14ac:dyDescent="0.35">
      <c r="D230" s="1">
        <f t="shared" si="10"/>
        <v>89</v>
      </c>
      <c r="E230" s="2"/>
      <c r="F230" s="11">
        <v>0</v>
      </c>
      <c r="G230" s="2" t="s">
        <v>42</v>
      </c>
    </row>
    <row r="231" spans="4:7" ht="16.5" customHeight="1" x14ac:dyDescent="0.35">
      <c r="D231" s="1">
        <f t="shared" si="10"/>
        <v>90</v>
      </c>
      <c r="E231" s="2"/>
      <c r="F231" s="11">
        <v>0</v>
      </c>
      <c r="G231" s="2" t="s">
        <v>42</v>
      </c>
    </row>
    <row r="232" spans="4:7" ht="16.5" customHeight="1" x14ac:dyDescent="0.35">
      <c r="D232" s="1">
        <f t="shared" si="10"/>
        <v>91</v>
      </c>
      <c r="E232" s="2"/>
      <c r="F232" s="11">
        <v>-0.99999999974897946</v>
      </c>
      <c r="G232" s="2" t="s">
        <v>42</v>
      </c>
    </row>
    <row r="233" spans="4:7" ht="16.5" customHeight="1" x14ac:dyDescent="0.35">
      <c r="D233" s="1">
        <f t="shared" si="10"/>
        <v>92</v>
      </c>
      <c r="E233" s="2"/>
      <c r="F233" s="11">
        <v>202.00000001523222</v>
      </c>
      <c r="G233" s="2" t="s">
        <v>42</v>
      </c>
    </row>
    <row r="234" spans="4:7" ht="16.5" customHeight="1" x14ac:dyDescent="0.35">
      <c r="D234" s="1">
        <f t="shared" si="10"/>
        <v>93</v>
      </c>
      <c r="E234" s="2"/>
      <c r="F234" s="11">
        <v>-0.99999997473787516</v>
      </c>
      <c r="G234" s="2" t="s">
        <v>42</v>
      </c>
    </row>
    <row r="235" spans="4:7" ht="16.5" customHeight="1" x14ac:dyDescent="0.35">
      <c r="D235" s="1">
        <f t="shared" si="10"/>
        <v>94</v>
      </c>
      <c r="E235" s="2"/>
      <c r="F235" s="11">
        <v>0</v>
      </c>
      <c r="G235" s="2" t="s">
        <v>42</v>
      </c>
    </row>
    <row r="236" spans="4:7" ht="16.5" customHeight="1" x14ac:dyDescent="0.35">
      <c r="D236" s="1">
        <f t="shared" si="10"/>
        <v>95</v>
      </c>
      <c r="E236" s="2"/>
      <c r="F236" s="11">
        <v>0</v>
      </c>
      <c r="G236" s="2" t="s">
        <v>42</v>
      </c>
    </row>
    <row r="237" spans="4:7" ht="16.5" customHeight="1" x14ac:dyDescent="0.35">
      <c r="D237" s="1">
        <f t="shared" si="10"/>
        <v>96</v>
      </c>
      <c r="E237" s="2"/>
      <c r="F237" s="11">
        <v>0</v>
      </c>
      <c r="G237" s="2" t="s">
        <v>42</v>
      </c>
    </row>
    <row r="238" spans="4:7" ht="16.5" customHeight="1" x14ac:dyDescent="0.35">
      <c r="D238" s="1">
        <f t="shared" si="10"/>
        <v>97</v>
      </c>
      <c r="E238" s="2"/>
      <c r="F238" s="11">
        <v>0</v>
      </c>
      <c r="G238" s="2" t="s">
        <v>42</v>
      </c>
    </row>
    <row r="239" spans="4:7" ht="16.5" customHeight="1" x14ac:dyDescent="0.35">
      <c r="D239" s="1">
        <f t="shared" si="10"/>
        <v>98</v>
      </c>
      <c r="E239" s="2"/>
      <c r="F239" s="11">
        <v>0</v>
      </c>
      <c r="G239" s="2" t="s">
        <v>42</v>
      </c>
    </row>
    <row r="240" spans="4:7" ht="16.5" customHeight="1" x14ac:dyDescent="0.35">
      <c r="D240" s="1">
        <f t="shared" si="10"/>
        <v>99</v>
      </c>
      <c r="E240" s="2"/>
      <c r="F240" s="11">
        <v>-100.00000002037268</v>
      </c>
      <c r="G240" s="2" t="s">
        <v>42</v>
      </c>
    </row>
    <row r="241" spans="4:7" ht="16.5" customHeight="1" x14ac:dyDescent="0.35">
      <c r="D241" s="1">
        <f t="shared" si="10"/>
        <v>100</v>
      </c>
      <c r="E241" s="2"/>
      <c r="F241" s="11">
        <v>0</v>
      </c>
      <c r="G241" s="2" t="s">
        <v>42</v>
      </c>
    </row>
    <row r="242" spans="4:7" ht="16.5" customHeight="1" x14ac:dyDescent="0.35">
      <c r="D242" s="1">
        <f t="shared" si="10"/>
        <v>101</v>
      </c>
      <c r="E242" s="2"/>
      <c r="F242" s="11">
        <v>0</v>
      </c>
      <c r="G242" s="2" t="s">
        <v>42</v>
      </c>
    </row>
    <row r="243" spans="4:7" ht="16.5" customHeight="1" x14ac:dyDescent="0.35">
      <c r="D243" s="1">
        <f t="shared" si="10"/>
        <v>102</v>
      </c>
      <c r="E243" s="2"/>
      <c r="F243" s="11">
        <v>0</v>
      </c>
      <c r="G243" s="2" t="s">
        <v>42</v>
      </c>
    </row>
    <row r="244" spans="4:7" ht="16.5" customHeight="1" x14ac:dyDescent="0.35">
      <c r="D244" s="1">
        <f t="shared" si="10"/>
        <v>103</v>
      </c>
      <c r="E244" s="2"/>
      <c r="F244" s="11">
        <v>0</v>
      </c>
      <c r="G244" s="2" t="s">
        <v>42</v>
      </c>
    </row>
    <row r="245" spans="4:7" ht="16.5" customHeight="1" x14ac:dyDescent="0.35">
      <c r="D245" s="1">
        <f t="shared" si="10"/>
        <v>104</v>
      </c>
      <c r="E245" s="2"/>
      <c r="F245" s="11">
        <v>-0.99999999974897946</v>
      </c>
      <c r="G245" s="2" t="s">
        <v>42</v>
      </c>
    </row>
    <row r="246" spans="4:7" ht="16.5" customHeight="1" x14ac:dyDescent="0.35">
      <c r="D246" s="1">
        <f t="shared" si="10"/>
        <v>105</v>
      </c>
      <c r="E246" s="2"/>
      <c r="F246" s="11">
        <v>202.00000001523222</v>
      </c>
      <c r="G246" s="2" t="s">
        <v>42</v>
      </c>
    </row>
    <row r="247" spans="4:7" ht="16.5" customHeight="1" x14ac:dyDescent="0.35">
      <c r="D247" s="1">
        <f t="shared" si="10"/>
        <v>106</v>
      </c>
      <c r="E247" s="2"/>
      <c r="F247" s="11">
        <v>-0.99999997473787516</v>
      </c>
      <c r="G247" s="2" t="s">
        <v>42</v>
      </c>
    </row>
    <row r="248" spans="4:7" ht="16.5" customHeight="1" x14ac:dyDescent="0.35">
      <c r="D248" s="1">
        <f t="shared" si="10"/>
        <v>107</v>
      </c>
      <c r="E248" s="2"/>
      <c r="F248" s="11">
        <v>0</v>
      </c>
      <c r="G248" s="2" t="s">
        <v>42</v>
      </c>
    </row>
    <row r="249" spans="4:7" ht="16.5" customHeight="1" x14ac:dyDescent="0.35">
      <c r="D249" s="1">
        <f t="shared" si="10"/>
        <v>108</v>
      </c>
      <c r="E249" s="2"/>
      <c r="F249" s="11">
        <v>0</v>
      </c>
      <c r="G249" s="2" t="s">
        <v>42</v>
      </c>
    </row>
    <row r="250" spans="4:7" ht="16.5" customHeight="1" x14ac:dyDescent="0.35">
      <c r="D250" s="1">
        <f t="shared" si="10"/>
        <v>109</v>
      </c>
      <c r="E250" s="2"/>
      <c r="F250" s="11">
        <v>0</v>
      </c>
      <c r="G250" s="2" t="s">
        <v>42</v>
      </c>
    </row>
    <row r="251" spans="4:7" ht="16.5" customHeight="1" x14ac:dyDescent="0.35">
      <c r="D251" s="1">
        <f t="shared" si="10"/>
        <v>110</v>
      </c>
      <c r="E251" s="2"/>
      <c r="F251" s="11">
        <v>0</v>
      </c>
      <c r="G251" s="2" t="s">
        <v>42</v>
      </c>
    </row>
    <row r="252" spans="4:7" ht="16.5" customHeight="1" x14ac:dyDescent="0.35">
      <c r="D252" s="1">
        <f t="shared" si="10"/>
        <v>111</v>
      </c>
      <c r="E252" s="2"/>
      <c r="F252" s="11">
        <v>0</v>
      </c>
      <c r="G252" s="2" t="s">
        <v>42</v>
      </c>
    </row>
    <row r="253" spans="4:7" ht="16.5" customHeight="1" x14ac:dyDescent="0.35">
      <c r="D253" s="1">
        <f t="shared" si="10"/>
        <v>112</v>
      </c>
      <c r="E253" s="2"/>
      <c r="F253" s="11">
        <v>-99.999999947613105</v>
      </c>
      <c r="G253" s="2" t="s">
        <v>42</v>
      </c>
    </row>
    <row r="254" spans="4:7" ht="16.5" customHeight="1" x14ac:dyDescent="0.35">
      <c r="D254" s="1">
        <f t="shared" si="10"/>
        <v>113</v>
      </c>
      <c r="E254" s="2"/>
      <c r="F254" s="11">
        <v>0</v>
      </c>
      <c r="G254" s="2" t="s">
        <v>42</v>
      </c>
    </row>
    <row r="255" spans="4:7" ht="16.5" customHeight="1" x14ac:dyDescent="0.35">
      <c r="D255" s="1">
        <f t="shared" si="10"/>
        <v>114</v>
      </c>
      <c r="E255" s="2"/>
      <c r="F255" s="11">
        <v>0</v>
      </c>
      <c r="G255" s="2" t="s">
        <v>42</v>
      </c>
    </row>
    <row r="256" spans="4:7" ht="16.5" customHeight="1" x14ac:dyDescent="0.35">
      <c r="D256" s="1">
        <f t="shared" si="10"/>
        <v>115</v>
      </c>
      <c r="E256" s="2"/>
      <c r="F256" s="11">
        <v>0</v>
      </c>
      <c r="G256" s="2" t="s">
        <v>42</v>
      </c>
    </row>
    <row r="257" spans="4:7" ht="16.5" customHeight="1" x14ac:dyDescent="0.35">
      <c r="D257" s="1">
        <f t="shared" si="10"/>
        <v>116</v>
      </c>
      <c r="E257" s="2"/>
      <c r="F257" s="11">
        <v>0</v>
      </c>
      <c r="G257" s="2" t="s">
        <v>42</v>
      </c>
    </row>
    <row r="258" spans="4:7" ht="16.5" customHeight="1" x14ac:dyDescent="0.35">
      <c r="D258" s="1">
        <f t="shared" si="10"/>
        <v>117</v>
      </c>
      <c r="E258" s="2"/>
      <c r="F258" s="11">
        <v>-0.99999999974897946</v>
      </c>
      <c r="G258" s="2" t="s">
        <v>42</v>
      </c>
    </row>
    <row r="259" spans="4:7" ht="16.5" customHeight="1" x14ac:dyDescent="0.35">
      <c r="D259" s="1">
        <f t="shared" si="10"/>
        <v>118</v>
      </c>
      <c r="E259" s="2"/>
      <c r="F259" s="11">
        <v>202.00000008799179</v>
      </c>
      <c r="G259" s="2" t="s">
        <v>42</v>
      </c>
    </row>
    <row r="260" spans="4:7" ht="16.5" customHeight="1" x14ac:dyDescent="0.35">
      <c r="D260" s="1">
        <f t="shared" si="10"/>
        <v>119</v>
      </c>
      <c r="E260" s="2"/>
      <c r="F260" s="11">
        <v>-0.99999997473787516</v>
      </c>
      <c r="G260" s="2" t="s">
        <v>42</v>
      </c>
    </row>
    <row r="261" spans="4:7" ht="16.5" customHeight="1" x14ac:dyDescent="0.35">
      <c r="D261" s="1">
        <f t="shared" si="10"/>
        <v>120</v>
      </c>
      <c r="E261" s="2"/>
      <c r="F261" s="11">
        <v>0</v>
      </c>
      <c r="G261" s="2" t="s">
        <v>42</v>
      </c>
    </row>
    <row r="262" spans="4:7" ht="16.5" customHeight="1" x14ac:dyDescent="0.35">
      <c r="D262" s="1">
        <f t="shared" si="10"/>
        <v>121</v>
      </c>
      <c r="E262" s="2"/>
      <c r="F262" s="11">
        <v>0</v>
      </c>
      <c r="G262" s="2" t="s">
        <v>42</v>
      </c>
    </row>
    <row r="263" spans="4:7" ht="16.5" customHeight="1" x14ac:dyDescent="0.35">
      <c r="D263" s="1">
        <f t="shared" si="10"/>
        <v>122</v>
      </c>
      <c r="E263" s="2"/>
      <c r="F263" s="11">
        <v>0</v>
      </c>
      <c r="G263" s="2" t="s">
        <v>42</v>
      </c>
    </row>
    <row r="264" spans="4:7" ht="16.5" customHeight="1" x14ac:dyDescent="0.35">
      <c r="D264" s="1">
        <f t="shared" si="10"/>
        <v>123</v>
      </c>
      <c r="E264" s="2"/>
      <c r="F264" s="11">
        <v>0</v>
      </c>
      <c r="G264" s="2" t="s">
        <v>42</v>
      </c>
    </row>
    <row r="265" spans="4:7" ht="16.5" customHeight="1" x14ac:dyDescent="0.35">
      <c r="D265" s="1">
        <f t="shared" si="10"/>
        <v>124</v>
      </c>
      <c r="E265" s="2"/>
      <c r="F265" s="11">
        <v>0</v>
      </c>
      <c r="G265" s="2" t="s">
        <v>42</v>
      </c>
    </row>
    <row r="266" spans="4:7" ht="16.5" customHeight="1" x14ac:dyDescent="0.35">
      <c r="D266" s="1">
        <f t="shared" si="10"/>
        <v>125</v>
      </c>
      <c r="E266" s="2"/>
      <c r="F266" s="11">
        <v>-99.999999947613105</v>
      </c>
      <c r="G266" s="2" t="s">
        <v>42</v>
      </c>
    </row>
    <row r="267" spans="4:7" ht="16.5" customHeight="1" x14ac:dyDescent="0.35">
      <c r="D267" s="1">
        <f t="shared" si="10"/>
        <v>126</v>
      </c>
      <c r="E267" s="2"/>
      <c r="F267" s="11">
        <v>0</v>
      </c>
      <c r="G267" s="2" t="s">
        <v>42</v>
      </c>
    </row>
    <row r="268" spans="4:7" ht="16.5" customHeight="1" x14ac:dyDescent="0.35">
      <c r="D268" s="1">
        <f t="shared" si="10"/>
        <v>127</v>
      </c>
      <c r="E268" s="2"/>
      <c r="F268" s="11">
        <v>0</v>
      </c>
      <c r="G268" s="2" t="s">
        <v>42</v>
      </c>
    </row>
    <row r="269" spans="4:7" ht="16.5" customHeight="1" x14ac:dyDescent="0.35">
      <c r="D269" s="1">
        <f t="shared" si="10"/>
        <v>128</v>
      </c>
      <c r="E269" s="2"/>
      <c r="F269" s="11">
        <v>0</v>
      </c>
      <c r="G269" s="2" t="s">
        <v>42</v>
      </c>
    </row>
    <row r="270" spans="4:7" ht="16.5" customHeight="1" x14ac:dyDescent="0.35">
      <c r="D270" s="1">
        <f t="shared" si="10"/>
        <v>129</v>
      </c>
      <c r="E270" s="2"/>
      <c r="F270" s="11">
        <v>0</v>
      </c>
      <c r="G270" s="2" t="s">
        <v>42</v>
      </c>
    </row>
    <row r="271" spans="4:7" ht="16.5" customHeight="1" x14ac:dyDescent="0.35">
      <c r="D271" s="1">
        <f t="shared" ref="D271:D285" si="11">ROW()-ROW($D$141)</f>
        <v>130</v>
      </c>
      <c r="E271" s="2"/>
      <c r="F271" s="11">
        <v>-0.99999999974897946</v>
      </c>
      <c r="G271" s="2" t="s">
        <v>42</v>
      </c>
    </row>
    <row r="272" spans="4:7" ht="16.5" customHeight="1" x14ac:dyDescent="0.35">
      <c r="D272" s="1">
        <f t="shared" si="11"/>
        <v>131</v>
      </c>
      <c r="E272" s="2"/>
      <c r="F272" s="11">
        <v>201.99999994247264</v>
      </c>
      <c r="G272" s="2" t="s">
        <v>42</v>
      </c>
    </row>
    <row r="273" spans="3:7" ht="16.5" customHeight="1" x14ac:dyDescent="0.35">
      <c r="D273" s="1">
        <f t="shared" si="11"/>
        <v>132</v>
      </c>
      <c r="E273" s="2"/>
      <c r="F273" s="11">
        <v>-0.99999997473787516</v>
      </c>
      <c r="G273" s="2" t="s">
        <v>42</v>
      </c>
    </row>
    <row r="274" spans="3:7" ht="16.5" customHeight="1" x14ac:dyDescent="0.35">
      <c r="D274" s="1">
        <f t="shared" si="11"/>
        <v>133</v>
      </c>
      <c r="E274" s="2"/>
      <c r="F274" s="11">
        <v>0</v>
      </c>
      <c r="G274" s="2" t="s">
        <v>42</v>
      </c>
    </row>
    <row r="275" spans="3:7" ht="16.5" customHeight="1" x14ac:dyDescent="0.35">
      <c r="D275" s="1">
        <f t="shared" si="11"/>
        <v>134</v>
      </c>
      <c r="E275" s="2"/>
      <c r="F275" s="11">
        <v>0</v>
      </c>
      <c r="G275" s="2" t="s">
        <v>42</v>
      </c>
    </row>
    <row r="276" spans="3:7" ht="16.5" customHeight="1" x14ac:dyDescent="0.35">
      <c r="D276" s="1">
        <f t="shared" si="11"/>
        <v>135</v>
      </c>
      <c r="E276" s="2"/>
      <c r="F276" s="11">
        <v>0</v>
      </c>
      <c r="G276" s="2" t="s">
        <v>42</v>
      </c>
    </row>
    <row r="277" spans="3:7" ht="16.5" customHeight="1" x14ac:dyDescent="0.35">
      <c r="D277" s="1">
        <f t="shared" si="11"/>
        <v>136</v>
      </c>
      <c r="E277" s="2"/>
      <c r="F277" s="11">
        <v>0</v>
      </c>
      <c r="G277" s="2" t="s">
        <v>42</v>
      </c>
    </row>
    <row r="278" spans="3:7" ht="16.5" customHeight="1" x14ac:dyDescent="0.35">
      <c r="D278" s="1">
        <f t="shared" si="11"/>
        <v>137</v>
      </c>
      <c r="E278" s="2"/>
      <c r="F278" s="11">
        <v>0</v>
      </c>
      <c r="G278" s="2" t="s">
        <v>42</v>
      </c>
    </row>
    <row r="279" spans="3:7" ht="16.5" customHeight="1" x14ac:dyDescent="0.35">
      <c r="D279" s="1">
        <f t="shared" si="11"/>
        <v>138</v>
      </c>
      <c r="E279" s="2"/>
      <c r="F279" s="11">
        <v>0</v>
      </c>
      <c r="G279" s="2" t="s">
        <v>42</v>
      </c>
    </row>
    <row r="280" spans="3:7" ht="16.5" customHeight="1" x14ac:dyDescent="0.35">
      <c r="D280" s="1">
        <f t="shared" si="11"/>
        <v>139</v>
      </c>
      <c r="E280" s="2"/>
      <c r="F280" s="11">
        <v>0</v>
      </c>
      <c r="G280" s="2" t="s">
        <v>42</v>
      </c>
    </row>
    <row r="281" spans="3:7" ht="16.5" customHeight="1" x14ac:dyDescent="0.35">
      <c r="D281" s="1">
        <f t="shared" si="11"/>
        <v>140</v>
      </c>
      <c r="E281" s="2"/>
      <c r="F281" s="11">
        <v>0</v>
      </c>
      <c r="G281" s="2" t="s">
        <v>42</v>
      </c>
    </row>
    <row r="282" spans="3:7" ht="16.5" customHeight="1" x14ac:dyDescent="0.35">
      <c r="D282" s="1">
        <f t="shared" si="11"/>
        <v>141</v>
      </c>
      <c r="E282" s="2"/>
      <c r="F282" s="11">
        <v>0</v>
      </c>
      <c r="G282" s="2" t="s">
        <v>42</v>
      </c>
    </row>
    <row r="283" spans="3:7" ht="16.5" customHeight="1" x14ac:dyDescent="0.35">
      <c r="D283" s="1">
        <f t="shared" si="11"/>
        <v>142</v>
      </c>
      <c r="E283" s="2"/>
      <c r="F283" s="11">
        <v>0</v>
      </c>
      <c r="G283" s="2" t="s">
        <v>42</v>
      </c>
    </row>
    <row r="284" spans="3:7" ht="16.5" customHeight="1" x14ac:dyDescent="0.35">
      <c r="D284" s="1">
        <f t="shared" si="11"/>
        <v>143</v>
      </c>
      <c r="E284" s="2"/>
      <c r="F284" s="11">
        <v>-0.99999999974897946</v>
      </c>
      <c r="G284" s="2" t="s">
        <v>42</v>
      </c>
    </row>
    <row r="285" spans="3:7" ht="16.5" customHeight="1" x14ac:dyDescent="0.35">
      <c r="D285" s="1">
        <f t="shared" si="11"/>
        <v>144</v>
      </c>
      <c r="E285" s="2"/>
      <c r="F285" s="11">
        <v>0.99999999974897946</v>
      </c>
      <c r="G285" s="2" t="s">
        <v>42</v>
      </c>
    </row>
    <row r="286" spans="3:7" ht="16.5" customHeight="1" x14ac:dyDescent="0.35">
      <c r="C286" s="3" t="s">
        <v>44</v>
      </c>
      <c r="D286" s="3" t="s">
        <v>10</v>
      </c>
      <c r="E286" s="3" t="s">
        <v>10</v>
      </c>
      <c r="F286" s="3" t="s">
        <v>44</v>
      </c>
      <c r="G286" s="2" t="s">
        <v>42</v>
      </c>
    </row>
  </sheetData>
  <phoneticPr fontId="1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Roman,標準"&amp;12&amp;A</oddHeader>
    <oddFooter>&amp;C&amp;"Times New Roman,標準"&amp;12ページ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C536-708E-4AAB-8312-72973D232BC3}">
  <sheetPr codeName="Sheet2"/>
  <dimension ref="D2:AW34"/>
  <sheetViews>
    <sheetView workbookViewId="0">
      <selection activeCell="I38" sqref="I38"/>
    </sheetView>
  </sheetViews>
  <sheetFormatPr defaultRowHeight="16.5" x14ac:dyDescent="0.35"/>
  <cols>
    <col min="4" max="4" width="2.5703125" customWidth="1"/>
    <col min="5" max="5" width="4.85546875" customWidth="1"/>
    <col min="6" max="6" width="3.140625" customWidth="1"/>
    <col min="7" max="7" width="7.5703125" customWidth="1"/>
    <col min="9" max="9" width="4" customWidth="1"/>
    <col min="12" max="12" width="3.42578125" customWidth="1"/>
    <col min="13" max="13" width="3.7109375" customWidth="1"/>
    <col min="14" max="14" width="3.28515625" customWidth="1"/>
    <col min="15" max="15" width="4.7109375" customWidth="1"/>
    <col min="16" max="16" width="6" customWidth="1"/>
    <col min="17" max="17" width="2" customWidth="1"/>
    <col min="18" max="18" width="3.7109375" customWidth="1"/>
    <col min="19" max="19" width="5" customWidth="1"/>
    <col min="20" max="20" width="2.7109375" customWidth="1"/>
    <col min="21" max="21" width="7" customWidth="1"/>
    <col min="23" max="23" width="2.28515625" customWidth="1"/>
    <col min="24" max="25" width="3.5703125" customWidth="1"/>
    <col min="26" max="26" width="2.5703125" customWidth="1"/>
    <col min="27" max="27" width="5" customWidth="1"/>
    <col min="28" max="28" width="5.85546875" customWidth="1"/>
    <col min="29" max="29" width="3.7109375" customWidth="1"/>
    <col min="32" max="32" width="6.5703125" customWidth="1"/>
    <col min="33" max="34" width="4.42578125" customWidth="1"/>
    <col min="35" max="35" width="6.140625" customWidth="1"/>
    <col min="36" max="36" width="5.5703125" customWidth="1"/>
    <col min="37" max="37" width="3.5703125" customWidth="1"/>
    <col min="38" max="39" width="4.85546875" customWidth="1"/>
    <col min="40" max="40" width="3.42578125" customWidth="1"/>
    <col min="41" max="41" width="8.28515625" customWidth="1"/>
    <col min="42" max="42" width="6.7109375" customWidth="1"/>
    <col min="43" max="43" width="2.85546875" customWidth="1"/>
    <col min="44" max="45" width="4.140625" customWidth="1"/>
    <col min="46" max="46" width="3.42578125" customWidth="1"/>
    <col min="47" max="47" width="7" customWidth="1"/>
    <col min="48" max="48" width="6.7109375" customWidth="1"/>
    <col min="49" max="49" width="3" customWidth="1"/>
  </cols>
  <sheetData>
    <row r="2" spans="4:49" ht="17.25" thickBot="1" x14ac:dyDescent="0.4"/>
    <row r="3" spans="4:49" x14ac:dyDescent="0.35">
      <c r="D3" s="12" t="s">
        <v>49</v>
      </c>
      <c r="E3" s="13"/>
      <c r="F3" s="14"/>
      <c r="G3" s="14"/>
      <c r="H3" s="14"/>
      <c r="I3" s="38" t="s">
        <v>69</v>
      </c>
      <c r="L3" s="12" t="s">
        <v>49</v>
      </c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38" t="s">
        <v>69</v>
      </c>
      <c r="AF3" s="12" t="s">
        <v>66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38" t="s">
        <v>69</v>
      </c>
    </row>
    <row r="4" spans="4:49" x14ac:dyDescent="0.35">
      <c r="D4" s="30" t="str">
        <f>D3</f>
        <v>Conduction</v>
      </c>
      <c r="E4" s="31" t="str">
        <f>D4&amp;"."&amp;G4</f>
        <v>Conduction.Q1in[W]</v>
      </c>
      <c r="F4" s="15" t="s">
        <v>89</v>
      </c>
      <c r="G4" s="15" t="s">
        <v>62</v>
      </c>
      <c r="H4" s="29">
        <f>H12</f>
        <v>0</v>
      </c>
      <c r="I4" s="17"/>
      <c r="L4" s="30" t="str">
        <f>L3</f>
        <v>Conduction</v>
      </c>
      <c r="M4" s="31" t="str">
        <f>L4</f>
        <v>Conduction</v>
      </c>
      <c r="N4" s="31" t="str">
        <f t="shared" ref="N4:AB4" si="0">M4</f>
        <v>Conduction</v>
      </c>
      <c r="O4" s="31" t="str">
        <f t="shared" si="0"/>
        <v>Conduction</v>
      </c>
      <c r="P4" s="31" t="str">
        <f t="shared" si="0"/>
        <v>Conduction</v>
      </c>
      <c r="Q4" s="31" t="str">
        <f t="shared" si="0"/>
        <v>Conduction</v>
      </c>
      <c r="R4" s="31" t="str">
        <f t="shared" si="0"/>
        <v>Conduction</v>
      </c>
      <c r="S4" s="31" t="str">
        <f t="shared" si="0"/>
        <v>Conduction</v>
      </c>
      <c r="T4" s="31" t="str">
        <f t="shared" si="0"/>
        <v>Conduction</v>
      </c>
      <c r="U4" s="31" t="str">
        <f t="shared" si="0"/>
        <v>Conduction</v>
      </c>
      <c r="V4" s="31" t="str">
        <f t="shared" si="0"/>
        <v>Conduction</v>
      </c>
      <c r="W4" s="31" t="str">
        <f t="shared" si="0"/>
        <v>Conduction</v>
      </c>
      <c r="X4" s="31" t="str">
        <f t="shared" si="0"/>
        <v>Conduction</v>
      </c>
      <c r="Y4" s="31" t="str">
        <f t="shared" si="0"/>
        <v>Conduction</v>
      </c>
      <c r="Z4" s="31" t="str">
        <f t="shared" si="0"/>
        <v>Conduction</v>
      </c>
      <c r="AA4" s="31" t="str">
        <f t="shared" si="0"/>
        <v>Conduction</v>
      </c>
      <c r="AB4" s="31" t="str">
        <f t="shared" si="0"/>
        <v>Conduction</v>
      </c>
      <c r="AC4" s="17"/>
      <c r="AF4" s="30" t="str">
        <f>AF3</f>
        <v>SSNode4ports</v>
      </c>
      <c r="AG4" s="16"/>
      <c r="AH4" s="16"/>
      <c r="AI4" s="16"/>
      <c r="AJ4" s="16"/>
      <c r="AK4" s="16"/>
      <c r="AL4" s="31" t="str">
        <f>AF4</f>
        <v>SSNode4ports</v>
      </c>
      <c r="AM4" s="16"/>
      <c r="AN4" s="15" t="s">
        <v>89</v>
      </c>
      <c r="AO4" s="15" t="s">
        <v>58</v>
      </c>
      <c r="AP4" s="16">
        <f>AP8</f>
        <v>500</v>
      </c>
      <c r="AQ4" s="16"/>
      <c r="AR4" s="31" t="str">
        <f>AF4</f>
        <v>SSNode4ports</v>
      </c>
      <c r="AS4" s="16"/>
      <c r="AT4" s="16"/>
      <c r="AU4" s="16"/>
      <c r="AV4" s="16"/>
      <c r="AW4" s="17"/>
    </row>
    <row r="5" spans="4:49" x14ac:dyDescent="0.35">
      <c r="D5" s="30" t="str">
        <f t="shared" ref="D5:D17" si="1">D4</f>
        <v>Conduction</v>
      </c>
      <c r="E5" s="31" t="str">
        <f>D5&amp;"."&amp;G5</f>
        <v>Conduction.T1[K]</v>
      </c>
      <c r="F5" s="15" t="s">
        <v>87</v>
      </c>
      <c r="G5" s="15" t="s">
        <v>58</v>
      </c>
      <c r="H5" s="28"/>
      <c r="I5" s="17"/>
      <c r="L5" s="30" t="str">
        <f>L4</f>
        <v>Conduction</v>
      </c>
      <c r="M5" s="31"/>
      <c r="N5" s="16"/>
      <c r="O5" s="16"/>
      <c r="P5" s="16"/>
      <c r="Q5" s="16"/>
      <c r="R5" s="31" t="str">
        <f>R4</f>
        <v>Conduction</v>
      </c>
      <c r="S5" s="31"/>
      <c r="T5" s="16"/>
      <c r="U5" s="16"/>
      <c r="V5" s="16"/>
      <c r="W5" s="16"/>
      <c r="X5" s="31" t="str">
        <f>X4</f>
        <v>Conduction</v>
      </c>
      <c r="Y5" s="16"/>
      <c r="Z5" s="16"/>
      <c r="AA5" s="16"/>
      <c r="AB5" s="16"/>
      <c r="AC5" s="17"/>
      <c r="AF5" s="30" t="str">
        <f t="shared" ref="AF5:AF13" si="2">AF4</f>
        <v>SSNode4ports</v>
      </c>
      <c r="AG5" s="16"/>
      <c r="AH5" s="16"/>
      <c r="AI5" s="16"/>
      <c r="AJ5" s="16"/>
      <c r="AK5" s="16"/>
      <c r="AL5" s="31" t="str">
        <f>AL4</f>
        <v>SSNode4ports</v>
      </c>
      <c r="AM5" s="16"/>
      <c r="AN5" s="15" t="s">
        <v>87</v>
      </c>
      <c r="AO5" s="15" t="s">
        <v>62</v>
      </c>
      <c r="AP5" s="28"/>
      <c r="AQ5" s="16"/>
      <c r="AR5" s="31" t="str">
        <f t="shared" ref="AR5:AR9" si="3">AR4</f>
        <v>SSNode4ports</v>
      </c>
      <c r="AS5" s="16"/>
      <c r="AT5" s="16"/>
      <c r="AU5" s="16"/>
      <c r="AV5" s="16"/>
      <c r="AW5" s="17"/>
    </row>
    <row r="6" spans="4:49" x14ac:dyDescent="0.35">
      <c r="D6" s="30" t="str">
        <f t="shared" si="1"/>
        <v>Conduction</v>
      </c>
      <c r="E6" s="31"/>
      <c r="F6" s="16"/>
      <c r="G6" s="16"/>
      <c r="H6" s="16"/>
      <c r="I6" s="17"/>
      <c r="L6" s="30" t="str">
        <f t="shared" ref="L6:L12" si="4">L5</f>
        <v>Conduction</v>
      </c>
      <c r="M6" s="31" t="str">
        <f>L6&amp;"."&amp;O6</f>
        <v>Conduction.T1[K]</v>
      </c>
      <c r="N6" s="15" t="s">
        <v>87</v>
      </c>
      <c r="O6" s="15" t="s">
        <v>63</v>
      </c>
      <c r="P6" s="28"/>
      <c r="Q6" s="16"/>
      <c r="R6" s="31" t="str">
        <f t="shared" ref="R6:R12" si="5">R5</f>
        <v>Conduction</v>
      </c>
      <c r="S6" s="31" t="str">
        <f>R6&amp;"."&amp;U6</f>
        <v>Conduction.A[m2]</v>
      </c>
      <c r="T6" s="19" t="s">
        <v>87</v>
      </c>
      <c r="U6" s="20" t="s">
        <v>50</v>
      </c>
      <c r="V6" s="43">
        <v>1E-3</v>
      </c>
      <c r="W6" s="16"/>
      <c r="X6" s="31" t="str">
        <f t="shared" ref="X6" si="6">X5</f>
        <v>Conduction</v>
      </c>
      <c r="Y6" s="31" t="str">
        <f>X6&amp;"."&amp;AA6</f>
        <v>Conduction.T2[K]</v>
      </c>
      <c r="Z6" s="15" t="s">
        <v>87</v>
      </c>
      <c r="AA6" s="15" t="s">
        <v>59</v>
      </c>
      <c r="AB6" s="28"/>
      <c r="AC6" s="17"/>
      <c r="AF6" s="30" t="str">
        <f t="shared" si="2"/>
        <v>SSNode4ports</v>
      </c>
      <c r="AG6" s="16"/>
      <c r="AH6" s="16"/>
      <c r="AI6" s="16"/>
      <c r="AJ6" s="16"/>
      <c r="AK6" s="16"/>
      <c r="AL6" s="31" t="str">
        <f t="shared" ref="AL6:AL13" si="7">AL5</f>
        <v>SSNode4ports</v>
      </c>
      <c r="AM6" s="16"/>
      <c r="AN6" s="15"/>
      <c r="AO6" s="15"/>
      <c r="AP6" s="16"/>
      <c r="AQ6" s="16"/>
      <c r="AR6" s="31" t="str">
        <f t="shared" si="3"/>
        <v>SSNode4ports</v>
      </c>
      <c r="AS6" s="16"/>
      <c r="AT6" s="16"/>
      <c r="AU6" s="16"/>
      <c r="AV6" s="16"/>
      <c r="AW6" s="17"/>
    </row>
    <row r="7" spans="4:49" x14ac:dyDescent="0.35">
      <c r="D7" s="30" t="str">
        <f t="shared" si="1"/>
        <v>Conduction</v>
      </c>
      <c r="E7" s="31"/>
      <c r="F7" s="19"/>
      <c r="G7" s="20"/>
      <c r="H7" s="21"/>
      <c r="I7" s="17"/>
      <c r="L7" s="30" t="str">
        <f t="shared" si="4"/>
        <v>Conduction</v>
      </c>
      <c r="M7" s="31" t="str">
        <f>L7&amp;"."&amp;O7</f>
        <v>Conduction.Q1in[W]</v>
      </c>
      <c r="N7" s="15" t="s">
        <v>89</v>
      </c>
      <c r="O7" s="15" t="s">
        <v>62</v>
      </c>
      <c r="P7" s="16">
        <f>V10</f>
        <v>0</v>
      </c>
      <c r="Q7" s="16"/>
      <c r="R7" s="31" t="str">
        <f t="shared" si="5"/>
        <v>Conduction</v>
      </c>
      <c r="S7" s="31" t="str">
        <f t="shared" ref="S7:S11" si="8">R7&amp;"."&amp;U7</f>
        <v>Conduction.th[m]</v>
      </c>
      <c r="T7" s="24" t="s">
        <v>87</v>
      </c>
      <c r="U7" s="16" t="s">
        <v>52</v>
      </c>
      <c r="V7" s="41">
        <v>0.01</v>
      </c>
      <c r="W7" s="16"/>
      <c r="X7" s="31" t="str">
        <f t="shared" ref="X7" si="9">X6</f>
        <v>Conduction</v>
      </c>
      <c r="Y7" s="31" t="str">
        <f>X7&amp;"."&amp;AA7</f>
        <v>Conduction.Q2in[W]</v>
      </c>
      <c r="Z7" s="15" t="s">
        <v>89</v>
      </c>
      <c r="AA7" s="15" t="s">
        <v>61</v>
      </c>
      <c r="AB7" s="16">
        <f>V11</f>
        <v>0</v>
      </c>
      <c r="AC7" s="17"/>
      <c r="AF7" s="30" t="str">
        <f t="shared" si="2"/>
        <v>SSNode4ports</v>
      </c>
      <c r="AG7" s="31"/>
      <c r="AH7" s="31"/>
      <c r="AI7" s="31"/>
      <c r="AJ7" s="31"/>
      <c r="AK7" s="31"/>
      <c r="AL7" s="31" t="str">
        <f t="shared" si="7"/>
        <v>SSNode4ports</v>
      </c>
      <c r="AM7" s="31"/>
      <c r="AN7" s="34"/>
      <c r="AO7" s="35"/>
      <c r="AP7" s="36"/>
      <c r="AQ7" s="31"/>
      <c r="AR7" s="31" t="str">
        <f t="shared" si="3"/>
        <v>SSNode4ports</v>
      </c>
      <c r="AS7" s="31"/>
      <c r="AT7" s="31"/>
      <c r="AU7" s="31"/>
      <c r="AV7" s="31"/>
      <c r="AW7" s="17"/>
    </row>
    <row r="8" spans="4:49" x14ac:dyDescent="0.35">
      <c r="D8" s="30" t="str">
        <f t="shared" si="1"/>
        <v>Conduction</v>
      </c>
      <c r="E8" s="31" t="str">
        <f>D8&amp;"."&amp;G8</f>
        <v>Conduction.A[m2]</v>
      </c>
      <c r="F8" s="22" t="s">
        <v>87</v>
      </c>
      <c r="G8" s="15" t="s">
        <v>51</v>
      </c>
      <c r="H8" s="41">
        <v>1E-3</v>
      </c>
      <c r="I8" s="17"/>
      <c r="L8" s="30" t="str">
        <f t="shared" si="4"/>
        <v>Conduction</v>
      </c>
      <c r="M8" s="16"/>
      <c r="N8" s="16"/>
      <c r="O8" s="16"/>
      <c r="P8" s="16"/>
      <c r="Q8" s="16"/>
      <c r="R8" s="31" t="str">
        <f t="shared" si="5"/>
        <v>Conduction</v>
      </c>
      <c r="S8" s="31" t="str">
        <f t="shared" si="8"/>
        <v>Conduction.rambda[W/(m*K)]</v>
      </c>
      <c r="T8" s="24" t="s">
        <v>87</v>
      </c>
      <c r="U8" s="16" t="s">
        <v>54</v>
      </c>
      <c r="V8" s="41">
        <v>10</v>
      </c>
      <c r="W8" s="16"/>
      <c r="X8" s="31"/>
      <c r="Y8" s="16"/>
      <c r="Z8" s="16"/>
      <c r="AA8" s="16"/>
      <c r="AB8" s="16"/>
      <c r="AC8" s="17"/>
      <c r="AF8" s="30" t="str">
        <f t="shared" si="2"/>
        <v>SSNode4ports</v>
      </c>
      <c r="AG8" s="31" t="str">
        <f>AF8&amp;"."&amp;AI8</f>
        <v>SSNode4ports.T4[K]</v>
      </c>
      <c r="AH8" s="15" t="s">
        <v>89</v>
      </c>
      <c r="AI8" s="15" t="s">
        <v>73</v>
      </c>
      <c r="AJ8" s="16">
        <f>AP8</f>
        <v>500</v>
      </c>
      <c r="AK8" s="16"/>
      <c r="AL8" s="31" t="str">
        <f t="shared" si="7"/>
        <v>SSNode4ports</v>
      </c>
      <c r="AM8" s="31" t="str">
        <f>AL8&amp;"."&amp;AO8</f>
        <v>SSNode4ports.T[K]</v>
      </c>
      <c r="AN8" s="15" t="s">
        <v>90</v>
      </c>
      <c r="AO8" s="15" t="s">
        <v>67</v>
      </c>
      <c r="AP8" s="46">
        <v>500</v>
      </c>
      <c r="AQ8" s="16"/>
      <c r="AR8" s="31" t="str">
        <f t="shared" si="3"/>
        <v>SSNode4ports</v>
      </c>
      <c r="AS8" s="31" t="str">
        <f>AR8&amp;"."&amp;AU8</f>
        <v>SSNode4ports.T2[K]</v>
      </c>
      <c r="AT8" s="15" t="s">
        <v>89</v>
      </c>
      <c r="AU8" s="15" t="s">
        <v>59</v>
      </c>
      <c r="AV8" s="16">
        <f>AP8</f>
        <v>500</v>
      </c>
      <c r="AW8" s="17"/>
    </row>
    <row r="9" spans="4:49" x14ac:dyDescent="0.35">
      <c r="D9" s="30" t="str">
        <f t="shared" si="1"/>
        <v>Conduction</v>
      </c>
      <c r="E9" s="31" t="str">
        <f>D9&amp;"."&amp;G9</f>
        <v>Conduction.th[m]</v>
      </c>
      <c r="F9" s="22" t="s">
        <v>87</v>
      </c>
      <c r="G9" s="15" t="s">
        <v>53</v>
      </c>
      <c r="H9" s="41">
        <v>0.01</v>
      </c>
      <c r="I9" s="17"/>
      <c r="L9" s="30" t="str">
        <f t="shared" si="4"/>
        <v>Conduction</v>
      </c>
      <c r="M9" s="16"/>
      <c r="N9" s="16"/>
      <c r="O9" s="16"/>
      <c r="P9" s="16"/>
      <c r="Q9" s="16"/>
      <c r="R9" s="31" t="str">
        <f t="shared" si="5"/>
        <v>Conduction</v>
      </c>
      <c r="S9" s="31"/>
      <c r="T9" s="24"/>
      <c r="U9" s="16"/>
      <c r="V9" s="23"/>
      <c r="W9" s="16"/>
      <c r="X9" s="31"/>
      <c r="Y9" s="16"/>
      <c r="Z9" s="16"/>
      <c r="AA9" s="16"/>
      <c r="AB9" s="16"/>
      <c r="AC9" s="17"/>
      <c r="AF9" s="30" t="str">
        <f t="shared" si="2"/>
        <v>SSNode4ports</v>
      </c>
      <c r="AG9" s="31" t="str">
        <f>AF9&amp;"."&amp;AI9</f>
        <v>SSNode4ports.Q4in[W]</v>
      </c>
      <c r="AH9" s="15" t="s">
        <v>87</v>
      </c>
      <c r="AI9" s="15" t="s">
        <v>74</v>
      </c>
      <c r="AJ9" s="28"/>
      <c r="AK9" s="16"/>
      <c r="AL9" s="31" t="str">
        <f t="shared" si="7"/>
        <v>SSNode4ports</v>
      </c>
      <c r="AM9" s="31" t="str">
        <f t="shared" ref="AM9" si="10">AL9&amp;"."&amp;AO9</f>
        <v>SSNode4ports.sumQ[m]</v>
      </c>
      <c r="AN9" s="22" t="s">
        <v>89</v>
      </c>
      <c r="AO9" s="15" t="s">
        <v>68</v>
      </c>
      <c r="AP9" s="23">
        <f>SUM(AP5,AV8,AP12,AJ8)</f>
        <v>1000</v>
      </c>
      <c r="AQ9" s="16"/>
      <c r="AR9" s="31" t="str">
        <f t="shared" si="3"/>
        <v>SSNode4ports</v>
      </c>
      <c r="AS9" s="31" t="str">
        <f>AR9&amp;"."&amp;AU9</f>
        <v>SSNode4ports.Q2in[W]</v>
      </c>
      <c r="AT9" s="15" t="s">
        <v>87</v>
      </c>
      <c r="AU9" s="15" t="s">
        <v>61</v>
      </c>
      <c r="AV9" s="28"/>
      <c r="AW9" s="17"/>
    </row>
    <row r="10" spans="4:49" x14ac:dyDescent="0.35">
      <c r="D10" s="30" t="str">
        <f t="shared" si="1"/>
        <v>Conduction</v>
      </c>
      <c r="E10" s="31" t="str">
        <f>D10&amp;"."&amp;G10</f>
        <v>Conduction.rambda[W/(m*K)]</v>
      </c>
      <c r="F10" s="22" t="s">
        <v>87</v>
      </c>
      <c r="G10" s="15" t="s">
        <v>55</v>
      </c>
      <c r="H10" s="41">
        <v>10</v>
      </c>
      <c r="I10" s="17"/>
      <c r="L10" s="30" t="str">
        <f t="shared" si="4"/>
        <v>Conduction</v>
      </c>
      <c r="M10" s="16"/>
      <c r="N10" s="16"/>
      <c r="O10" s="16"/>
      <c r="P10" s="16"/>
      <c r="Q10" s="16"/>
      <c r="R10" s="31" t="str">
        <f t="shared" si="5"/>
        <v>Conduction</v>
      </c>
      <c r="S10" s="31" t="str">
        <f t="shared" si="8"/>
        <v>Conduction.Q12[W]</v>
      </c>
      <c r="T10" s="24" t="s">
        <v>89</v>
      </c>
      <c r="U10" s="16" t="s">
        <v>56</v>
      </c>
      <c r="V10" s="23">
        <f>V8*V6/V7*(P6-AB6)</f>
        <v>0</v>
      </c>
      <c r="W10" s="16"/>
      <c r="X10" s="31"/>
      <c r="Y10" s="16"/>
      <c r="Z10" s="16"/>
      <c r="AA10" s="16"/>
      <c r="AB10" s="16"/>
      <c r="AC10" s="17"/>
      <c r="AF10" s="30" t="str">
        <f t="shared" si="2"/>
        <v>SSNode4ports</v>
      </c>
      <c r="AG10" s="16"/>
      <c r="AH10" s="16"/>
      <c r="AI10" s="16"/>
      <c r="AJ10" s="16"/>
      <c r="AK10" s="16"/>
      <c r="AL10" s="31" t="str">
        <f t="shared" si="7"/>
        <v>SSNode4ports</v>
      </c>
      <c r="AM10" s="31"/>
      <c r="AN10" s="32"/>
      <c r="AO10" s="33"/>
      <c r="AP10" s="27"/>
      <c r="AQ10" s="16"/>
      <c r="AR10" s="31"/>
      <c r="AS10" s="16"/>
      <c r="AT10" s="16"/>
      <c r="AU10" s="16"/>
      <c r="AV10" s="16"/>
      <c r="AW10" s="17"/>
    </row>
    <row r="11" spans="4:49" x14ac:dyDescent="0.35">
      <c r="D11" s="30" t="str">
        <f t="shared" si="1"/>
        <v>Conduction</v>
      </c>
      <c r="E11" s="31"/>
      <c r="F11" s="24"/>
      <c r="G11" s="16"/>
      <c r="H11" s="23"/>
      <c r="I11" s="17"/>
      <c r="L11" s="30" t="str">
        <f t="shared" si="4"/>
        <v>Conduction</v>
      </c>
      <c r="M11" s="16"/>
      <c r="N11" s="16"/>
      <c r="O11" s="16"/>
      <c r="P11" s="16"/>
      <c r="Q11" s="16"/>
      <c r="R11" s="31" t="str">
        <f t="shared" si="5"/>
        <v>Conduction</v>
      </c>
      <c r="S11" s="31" t="str">
        <f t="shared" si="8"/>
        <v>Conduction.Q21[W]</v>
      </c>
      <c r="T11" s="24" t="s">
        <v>89</v>
      </c>
      <c r="U11" s="16" t="s">
        <v>64</v>
      </c>
      <c r="V11" s="23">
        <f>-1*V10</f>
        <v>0</v>
      </c>
      <c r="W11" s="16"/>
      <c r="X11" s="31"/>
      <c r="Y11" s="16"/>
      <c r="Z11" s="16"/>
      <c r="AA11" s="16"/>
      <c r="AB11" s="16"/>
      <c r="AC11" s="17"/>
      <c r="AF11" s="30" t="str">
        <f t="shared" si="2"/>
        <v>SSNode4ports</v>
      </c>
      <c r="AG11" s="16"/>
      <c r="AH11" s="16"/>
      <c r="AI11" s="16"/>
      <c r="AJ11" s="16"/>
      <c r="AK11" s="16"/>
      <c r="AL11" s="31" t="str">
        <f t="shared" si="7"/>
        <v>SSNode4ports</v>
      </c>
      <c r="AM11" s="16"/>
      <c r="AN11" s="16"/>
      <c r="AO11" s="16"/>
      <c r="AP11" s="16"/>
      <c r="AQ11" s="16"/>
      <c r="AR11" s="31"/>
      <c r="AS11" s="16"/>
      <c r="AT11" s="16"/>
      <c r="AU11" s="16"/>
      <c r="AV11" s="16"/>
      <c r="AW11" s="17"/>
    </row>
    <row r="12" spans="4:49" x14ac:dyDescent="0.35">
      <c r="D12" s="30" t="str">
        <f t="shared" si="1"/>
        <v>Conduction</v>
      </c>
      <c r="E12" s="31"/>
      <c r="F12" s="22" t="s">
        <v>89</v>
      </c>
      <c r="G12" s="15" t="s">
        <v>57</v>
      </c>
      <c r="H12" s="23">
        <f>H10*H8/H9*(H5-H16)</f>
        <v>0</v>
      </c>
      <c r="I12" s="17"/>
      <c r="L12" s="30" t="str">
        <f t="shared" si="4"/>
        <v>Conduction</v>
      </c>
      <c r="M12" s="16"/>
      <c r="N12" s="16"/>
      <c r="O12" s="16"/>
      <c r="P12" s="16"/>
      <c r="Q12" s="16"/>
      <c r="R12" s="31" t="str">
        <f t="shared" si="5"/>
        <v>Conduction</v>
      </c>
      <c r="S12" s="31"/>
      <c r="T12" s="32"/>
      <c r="U12" s="33"/>
      <c r="V12" s="27"/>
      <c r="W12" s="16"/>
      <c r="X12" s="31"/>
      <c r="Y12" s="16"/>
      <c r="Z12" s="16"/>
      <c r="AA12" s="16"/>
      <c r="AB12" s="16"/>
      <c r="AC12" s="17"/>
      <c r="AF12" s="30" t="str">
        <f t="shared" si="2"/>
        <v>SSNode4ports</v>
      </c>
      <c r="AG12" s="16"/>
      <c r="AH12" s="16"/>
      <c r="AI12" s="16"/>
      <c r="AJ12" s="16"/>
      <c r="AK12" s="16"/>
      <c r="AL12" s="31" t="str">
        <f t="shared" si="7"/>
        <v>SSNode4ports</v>
      </c>
      <c r="AM12" s="31" t="str">
        <f t="shared" ref="AM12:AM13" si="11">AL12&amp;"."&amp;AO12</f>
        <v>SSNode4ports.Q3in[W]</v>
      </c>
      <c r="AN12" s="15" t="s">
        <v>87</v>
      </c>
      <c r="AO12" s="15" t="s">
        <v>72</v>
      </c>
      <c r="AP12" s="28"/>
      <c r="AQ12" s="16"/>
      <c r="AR12" s="31"/>
      <c r="AS12" s="16"/>
      <c r="AT12" s="16"/>
      <c r="AU12" s="16"/>
      <c r="AV12" s="16"/>
      <c r="AW12" s="17"/>
    </row>
    <row r="13" spans="4:49" ht="17.25" thickBot="1" x14ac:dyDescent="0.4">
      <c r="D13" s="30" t="str">
        <f t="shared" si="1"/>
        <v>Conduction</v>
      </c>
      <c r="E13" s="31"/>
      <c r="F13" s="22" t="s">
        <v>89</v>
      </c>
      <c r="G13" s="15" t="s">
        <v>60</v>
      </c>
      <c r="H13" s="23">
        <f>-1*H12</f>
        <v>0</v>
      </c>
      <c r="I13" s="17"/>
      <c r="L13" s="37" t="s">
        <v>69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39" t="s">
        <v>69</v>
      </c>
      <c r="AF13" s="30" t="str">
        <f t="shared" si="2"/>
        <v>SSNode4ports</v>
      </c>
      <c r="AG13" s="16"/>
      <c r="AH13" s="16"/>
      <c r="AI13" s="16"/>
      <c r="AJ13" s="16"/>
      <c r="AK13" s="16"/>
      <c r="AL13" s="31" t="str">
        <f t="shared" si="7"/>
        <v>SSNode4ports</v>
      </c>
      <c r="AM13" s="31" t="str">
        <f t="shared" si="11"/>
        <v>SSNode4ports.T3[K]</v>
      </c>
      <c r="AN13" s="15" t="s">
        <v>89</v>
      </c>
      <c r="AO13" s="15" t="s">
        <v>71</v>
      </c>
      <c r="AP13" s="16">
        <f>AP8</f>
        <v>500</v>
      </c>
      <c r="AQ13" s="16"/>
      <c r="AR13" s="31"/>
      <c r="AS13" s="16"/>
      <c r="AT13" s="16"/>
      <c r="AU13" s="16"/>
      <c r="AV13" s="16"/>
      <c r="AW13" s="17"/>
    </row>
    <row r="14" spans="4:49" ht="17.25" thickBot="1" x14ac:dyDescent="0.4">
      <c r="D14" s="30" t="str">
        <f t="shared" si="1"/>
        <v>Conduction</v>
      </c>
      <c r="E14" s="31"/>
      <c r="F14" s="25"/>
      <c r="G14" s="26"/>
      <c r="H14" s="27"/>
      <c r="I14" s="17"/>
      <c r="AF14" s="37" t="s">
        <v>69</v>
      </c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39" t="s">
        <v>69</v>
      </c>
    </row>
    <row r="15" spans="4:49" x14ac:dyDescent="0.35">
      <c r="D15" s="30" t="str">
        <f t="shared" si="1"/>
        <v>Conduction</v>
      </c>
      <c r="E15" s="31"/>
      <c r="F15" s="16"/>
      <c r="G15" s="16"/>
      <c r="H15" s="16"/>
      <c r="I15" s="17"/>
    </row>
    <row r="16" spans="4:49" x14ac:dyDescent="0.35">
      <c r="D16" s="30" t="str">
        <f t="shared" si="1"/>
        <v>Conduction</v>
      </c>
      <c r="E16" s="31" t="str">
        <f>D16&amp;"."&amp;G16</f>
        <v>Conduction.T2[K]</v>
      </c>
      <c r="F16" s="15" t="s">
        <v>87</v>
      </c>
      <c r="G16" s="15" t="s">
        <v>59</v>
      </c>
      <c r="H16" s="28"/>
      <c r="I16" s="17"/>
    </row>
    <row r="17" spans="4:9" x14ac:dyDescent="0.35">
      <c r="D17" s="30" t="str">
        <f t="shared" si="1"/>
        <v>Conduction</v>
      </c>
      <c r="E17" s="31" t="str">
        <f>D17&amp;"."&amp;G17</f>
        <v>Conduction.Q2in[W]</v>
      </c>
      <c r="F17" s="15" t="s">
        <v>89</v>
      </c>
      <c r="G17" s="15" t="s">
        <v>61</v>
      </c>
      <c r="H17" s="16">
        <f>H13</f>
        <v>0</v>
      </c>
      <c r="I17" s="17"/>
    </row>
    <row r="18" spans="4:9" ht="17.25" thickBot="1" x14ac:dyDescent="0.4">
      <c r="D18" s="37" t="s">
        <v>69</v>
      </c>
      <c r="E18" s="18"/>
      <c r="F18" s="18"/>
      <c r="G18" s="18"/>
      <c r="H18" s="18"/>
      <c r="I18" s="39" t="s">
        <v>69</v>
      </c>
    </row>
    <row r="20" spans="4:9" ht="17.25" thickBot="1" x14ac:dyDescent="0.4"/>
    <row r="21" spans="4:9" x14ac:dyDescent="0.35">
      <c r="D21" s="12" t="s">
        <v>70</v>
      </c>
      <c r="E21" s="13"/>
      <c r="F21" s="14"/>
      <c r="G21" s="14"/>
      <c r="H21" s="14"/>
      <c r="I21" s="38" t="s">
        <v>69</v>
      </c>
    </row>
    <row r="22" spans="4:9" x14ac:dyDescent="0.35">
      <c r="D22" s="30" t="str">
        <f>D21</f>
        <v>NodeSS</v>
      </c>
      <c r="E22" s="31" t="str">
        <f>D22&amp;"."&amp;G22</f>
        <v>NodeSS.sumQ[W]</v>
      </c>
      <c r="F22" s="15" t="s">
        <v>87</v>
      </c>
      <c r="G22" s="15" t="s">
        <v>65</v>
      </c>
      <c r="H22" s="28"/>
      <c r="I22" s="17"/>
    </row>
    <row r="23" spans="4:9" x14ac:dyDescent="0.35">
      <c r="D23" s="30" t="str">
        <f t="shared" ref="D23" si="12">D22</f>
        <v>NodeSS</v>
      </c>
      <c r="E23" s="31" t="str">
        <f>D23&amp;"."&amp;G23</f>
        <v>NodeSS.T[K]</v>
      </c>
      <c r="F23" s="15" t="s">
        <v>90</v>
      </c>
      <c r="G23" s="15" t="s">
        <v>67</v>
      </c>
      <c r="H23" s="45"/>
      <c r="I23" s="17"/>
    </row>
    <row r="24" spans="4:9" ht="17.25" thickBot="1" x14ac:dyDescent="0.4">
      <c r="D24" s="37" t="s">
        <v>69</v>
      </c>
      <c r="E24" s="18"/>
      <c r="F24" s="40"/>
      <c r="G24" s="40"/>
      <c r="H24" s="18"/>
      <c r="I24" s="39" t="s">
        <v>69</v>
      </c>
    </row>
    <row r="26" spans="4:9" ht="17.25" thickBot="1" x14ac:dyDescent="0.4"/>
    <row r="27" spans="4:9" x14ac:dyDescent="0.35">
      <c r="D27" s="12" t="s">
        <v>75</v>
      </c>
      <c r="E27" s="13"/>
      <c r="F27" s="14"/>
      <c r="G27" s="14"/>
      <c r="H27" s="14"/>
      <c r="I27" s="38" t="s">
        <v>69</v>
      </c>
    </row>
    <row r="28" spans="4:9" x14ac:dyDescent="0.35">
      <c r="D28" s="30" t="str">
        <f>D27</f>
        <v>BoundaryCondition_temperature</v>
      </c>
      <c r="E28" s="31" t="str">
        <f>D28&amp;"."&amp;G28</f>
        <v>BoundaryCondition_temperature.T[K]</v>
      </c>
      <c r="F28" s="15" t="s">
        <v>87</v>
      </c>
      <c r="G28" s="15" t="s">
        <v>67</v>
      </c>
      <c r="H28" s="42"/>
      <c r="I28" s="17"/>
    </row>
    <row r="29" spans="4:9" ht="17.25" thickBot="1" x14ac:dyDescent="0.4">
      <c r="D29" s="37" t="s">
        <v>69</v>
      </c>
      <c r="E29" s="18"/>
      <c r="F29" s="40"/>
      <c r="G29" s="40"/>
      <c r="H29" s="18"/>
      <c r="I29" s="39" t="s">
        <v>69</v>
      </c>
    </row>
    <row r="31" spans="4:9" ht="17.25" thickBot="1" x14ac:dyDescent="0.4"/>
    <row r="32" spans="4:9" x14ac:dyDescent="0.35">
      <c r="D32" s="12" t="s">
        <v>76</v>
      </c>
      <c r="E32" s="13"/>
      <c r="F32" s="14"/>
      <c r="G32" s="14"/>
      <c r="H32" s="14"/>
      <c r="I32" s="38" t="s">
        <v>69</v>
      </c>
    </row>
    <row r="33" spans="4:9" x14ac:dyDescent="0.35">
      <c r="D33" s="30" t="str">
        <f>D32</f>
        <v>BoundaryCondition_heat</v>
      </c>
      <c r="E33" s="31" t="str">
        <f>D33&amp;"."&amp;G33</f>
        <v>BoundaryCondition_heat.Q[W]</v>
      </c>
      <c r="F33" s="15" t="s">
        <v>87</v>
      </c>
      <c r="G33" s="15" t="s">
        <v>77</v>
      </c>
      <c r="H33" s="42"/>
      <c r="I33" s="17"/>
    </row>
    <row r="34" spans="4:9" ht="17.25" thickBot="1" x14ac:dyDescent="0.4">
      <c r="D34" s="37" t="s">
        <v>69</v>
      </c>
      <c r="E34" s="18"/>
      <c r="F34" s="40"/>
      <c r="G34" s="40"/>
      <c r="H34" s="18"/>
      <c r="I34" s="39" t="s">
        <v>69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695B2-F845-49C7-B792-B21FDED97E81}">
  <dimension ref="C3:Y10"/>
  <sheetViews>
    <sheetView tabSelected="1" workbookViewId="0">
      <selection activeCell="AC24" sqref="AC24"/>
    </sheetView>
  </sheetViews>
  <sheetFormatPr defaultRowHeight="16.5" x14ac:dyDescent="0.35"/>
  <cols>
    <col min="4" max="4" width="6.5703125" customWidth="1"/>
    <col min="5" max="8" width="7.28515625" customWidth="1"/>
    <col min="9" max="9" width="1.42578125" customWidth="1"/>
    <col min="11" max="13" width="4" customWidth="1"/>
    <col min="15" max="15" width="6.42578125" customWidth="1"/>
    <col min="16" max="19" width="5.85546875" customWidth="1"/>
    <col min="20" max="20" width="1.5703125" customWidth="1"/>
    <col min="21" max="21" width="7.5703125" customWidth="1"/>
    <col min="22" max="24" width="4.42578125" customWidth="1"/>
  </cols>
  <sheetData>
    <row r="3" spans="3:25" x14ac:dyDescent="0.35">
      <c r="C3" s="48" t="s">
        <v>103</v>
      </c>
      <c r="N3" s="48" t="s">
        <v>104</v>
      </c>
      <c r="Y3" s="48"/>
    </row>
    <row r="4" spans="3:25" x14ac:dyDescent="0.35">
      <c r="D4" s="47">
        <f>SystemModel!J4</f>
        <v>1800</v>
      </c>
      <c r="E4" s="47">
        <f>SystemModel!AL4</f>
        <v>1700</v>
      </c>
      <c r="F4" s="47">
        <f>SystemModel!BN4</f>
        <v>1600</v>
      </c>
      <c r="G4" s="47">
        <f>SystemModel!CP4</f>
        <v>1500</v>
      </c>
      <c r="H4" s="47">
        <f>SystemModel!DR4</f>
        <v>1400</v>
      </c>
      <c r="I4" s="47"/>
      <c r="J4" s="47"/>
      <c r="O4" s="47">
        <f>D4-273.15</f>
        <v>1526.85</v>
      </c>
      <c r="P4" s="47">
        <f t="shared" ref="P4:S4" si="0">E4-273.15</f>
        <v>1426.85</v>
      </c>
      <c r="Q4" s="47">
        <f t="shared" si="0"/>
        <v>1326.85</v>
      </c>
      <c r="R4" s="47">
        <f t="shared" si="0"/>
        <v>1226.8499999999999</v>
      </c>
      <c r="S4" s="47">
        <f t="shared" si="0"/>
        <v>1126.8499999999999</v>
      </c>
    </row>
    <row r="5" spans="3:25" ht="15" customHeight="1" x14ac:dyDescent="0.35">
      <c r="D5" s="47"/>
      <c r="E5" s="47"/>
      <c r="F5" s="47"/>
      <c r="G5" s="47"/>
      <c r="H5" s="47"/>
      <c r="I5" s="47"/>
      <c r="J5" s="47"/>
    </row>
    <row r="6" spans="3:25" x14ac:dyDescent="0.35">
      <c r="D6" s="54">
        <f>SystemModel!J28</f>
        <v>1299.4632633383717</v>
      </c>
      <c r="E6" s="54">
        <f>SystemModel!AL28</f>
        <v>1234.6059945580828</v>
      </c>
      <c r="F6" s="54">
        <f>SystemModel!BN28</f>
        <v>1264.0837937286185</v>
      </c>
      <c r="G6" s="54">
        <f>SystemModel!CP28</f>
        <v>1101.279435425686</v>
      </c>
      <c r="H6" s="54">
        <f>SystemModel!DR28</f>
        <v>1032.9008462825743</v>
      </c>
      <c r="I6" s="54"/>
      <c r="J6" s="54">
        <f>SystemModel!ET28</f>
        <v>732.90084628257443</v>
      </c>
      <c r="O6" s="47">
        <f>D6-273.15</f>
        <v>1026.3132633383716</v>
      </c>
      <c r="P6" s="47">
        <f t="shared" ref="P6:U8" si="1">E6-273.15</f>
        <v>961.45599455808281</v>
      </c>
      <c r="Q6" s="47">
        <f t="shared" si="1"/>
        <v>990.93379372861853</v>
      </c>
      <c r="R6" s="47">
        <f t="shared" si="1"/>
        <v>828.12943542568598</v>
      </c>
      <c r="S6" s="47">
        <f t="shared" si="1"/>
        <v>759.75084628257434</v>
      </c>
      <c r="U6" s="47">
        <f>J6-273.15</f>
        <v>459.75084628257446</v>
      </c>
    </row>
    <row r="7" spans="3:25" ht="6" customHeight="1" x14ac:dyDescent="0.35">
      <c r="D7" s="54"/>
      <c r="E7" s="54"/>
      <c r="F7" s="54"/>
      <c r="G7" s="54"/>
      <c r="H7" s="54"/>
      <c r="I7" s="54"/>
      <c r="J7" s="54"/>
      <c r="O7" s="47"/>
      <c r="P7" s="47"/>
      <c r="Q7" s="47"/>
      <c r="R7" s="47"/>
      <c r="S7" s="47"/>
      <c r="U7" s="47"/>
    </row>
    <row r="8" spans="3:25" x14ac:dyDescent="0.35">
      <c r="D8" s="54">
        <f>SystemModel!J59</f>
        <v>799.57509936454642</v>
      </c>
      <c r="E8" s="54">
        <f>SystemModel!AL59</f>
        <v>768.26863843665751</v>
      </c>
      <c r="F8" s="54">
        <f>SystemModel!BN59</f>
        <v>930.09040903197172</v>
      </c>
      <c r="G8" s="54">
        <f>SystemModel!CP59</f>
        <v>701.61461315977374</v>
      </c>
      <c r="H8" s="54">
        <f>SystemModel!DR59</f>
        <v>668.11790667371747</v>
      </c>
      <c r="I8" s="54"/>
      <c r="J8" s="54">
        <f>SystemModel!ET59</f>
        <v>968.11790667371747</v>
      </c>
      <c r="O8" s="47">
        <f>D8-273.15</f>
        <v>526.42509936454644</v>
      </c>
      <c r="P8" s="47">
        <f t="shared" si="1"/>
        <v>495.11863843665753</v>
      </c>
      <c r="Q8" s="47">
        <f t="shared" si="1"/>
        <v>656.94040903197174</v>
      </c>
      <c r="R8" s="47">
        <f t="shared" si="1"/>
        <v>428.46461315977376</v>
      </c>
      <c r="S8" s="47">
        <f t="shared" si="1"/>
        <v>394.96790667371749</v>
      </c>
      <c r="U8" s="47">
        <f t="shared" si="1"/>
        <v>694.96790667371749</v>
      </c>
    </row>
    <row r="9" spans="3:25" ht="18.75" customHeight="1" x14ac:dyDescent="0.35">
      <c r="D9" s="47"/>
      <c r="E9" s="47"/>
      <c r="F9" s="47"/>
      <c r="G9" s="47"/>
      <c r="H9" s="47"/>
      <c r="I9" s="47"/>
      <c r="J9" s="47"/>
    </row>
    <row r="10" spans="3:25" x14ac:dyDescent="0.35">
      <c r="D10" s="47">
        <f>SystemModel!J89</f>
        <v>300</v>
      </c>
      <c r="E10" s="47">
        <f>SystemModel!AL89</f>
        <v>300</v>
      </c>
      <c r="F10" s="47">
        <f>SystemModel!BN89</f>
        <v>600</v>
      </c>
      <c r="G10" s="47">
        <f>SystemModel!CP89</f>
        <v>300</v>
      </c>
      <c r="H10" s="47">
        <f>SystemModel!DR89</f>
        <v>300</v>
      </c>
      <c r="I10" s="47"/>
      <c r="J10" s="47"/>
      <c r="O10" s="47">
        <f>D10-273.15</f>
        <v>26.850000000000023</v>
      </c>
      <c r="P10" s="47">
        <f t="shared" ref="P10:S10" si="2">E10-273.15</f>
        <v>26.850000000000023</v>
      </c>
      <c r="Q10" s="47">
        <f t="shared" si="2"/>
        <v>326.85000000000002</v>
      </c>
      <c r="R10" s="47">
        <f t="shared" si="2"/>
        <v>26.850000000000023</v>
      </c>
      <c r="S10" s="47">
        <f t="shared" si="2"/>
        <v>26.850000000000023</v>
      </c>
    </row>
  </sheetData>
  <phoneticPr fontId="1"/>
  <conditionalFormatting sqref="C1:K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V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A322-B9CB-4FD9-A2FC-55E7141BF210}">
  <dimension ref="C3:O16"/>
  <sheetViews>
    <sheetView workbookViewId="0">
      <selection activeCell="N22" sqref="N22"/>
    </sheetView>
  </sheetViews>
  <sheetFormatPr defaultRowHeight="16.5" x14ac:dyDescent="0.35"/>
  <sheetData>
    <row r="3" spans="3:15" x14ac:dyDescent="0.35">
      <c r="C3" s="48" t="s">
        <v>146</v>
      </c>
    </row>
    <row r="5" spans="3:15" x14ac:dyDescent="0.35">
      <c r="D5" s="47">
        <f>SystemModel!J17</f>
        <v>50053.673666162831</v>
      </c>
      <c r="E5" s="47"/>
      <c r="F5" s="47">
        <f>SystemModel!AL17</f>
        <v>46539.400544191725</v>
      </c>
      <c r="G5" s="47"/>
      <c r="H5" s="47">
        <f>SystemModel!BN17</f>
        <v>33591.620627138152</v>
      </c>
      <c r="I5" s="47"/>
      <c r="J5" s="47">
        <f>SystemModel!CP17</f>
        <v>39872.056457431405</v>
      </c>
      <c r="K5" s="47"/>
      <c r="L5" s="47">
        <f>SystemModel!DR17</f>
        <v>36709.915371742565</v>
      </c>
      <c r="M5" s="47"/>
    </row>
    <row r="6" spans="3:15" x14ac:dyDescent="0.35"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3:15" x14ac:dyDescent="0.35">
      <c r="D7" s="53" t="s">
        <v>147</v>
      </c>
      <c r="E7" s="47">
        <f>SystemModel!X33</f>
        <v>64.857268780288905</v>
      </c>
      <c r="F7" s="53" t="s">
        <v>147</v>
      </c>
      <c r="G7" s="47">
        <f>SystemModel!AZ33</f>
        <v>-29.477799170535718</v>
      </c>
      <c r="H7" s="53" t="s">
        <v>147</v>
      </c>
      <c r="I7" s="47">
        <f>SystemModel!CB33</f>
        <v>162.80435830293254</v>
      </c>
      <c r="J7" s="53" t="s">
        <v>147</v>
      </c>
      <c r="K7" s="47">
        <f>SystemModel!DD33</f>
        <v>68.37858914311164</v>
      </c>
      <c r="L7" s="53" t="s">
        <v>147</v>
      </c>
      <c r="M7" s="47">
        <f>SystemModel!EF33</f>
        <v>299.99999999999989</v>
      </c>
      <c r="N7" s="53" t="s">
        <v>147</v>
      </c>
      <c r="O7">
        <f>SystemModel!FB27</f>
        <v>300</v>
      </c>
    </row>
    <row r="8" spans="3:15" x14ac:dyDescent="0.35"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3:15" x14ac:dyDescent="0.35">
      <c r="D9" s="47">
        <f>SystemModel!J48</f>
        <v>49988.816397382529</v>
      </c>
      <c r="E9" s="47"/>
      <c r="F9" s="47">
        <f>SystemModel!AL48</f>
        <v>46633.735612142525</v>
      </c>
      <c r="G9" s="47"/>
      <c r="H9" s="47">
        <f>SystemModel!BN48</f>
        <v>33399.338469664675</v>
      </c>
      <c r="I9" s="47"/>
      <c r="J9" s="47">
        <f>SystemModel!CP48</f>
        <v>39966.482226591223</v>
      </c>
      <c r="K9" s="47"/>
      <c r="L9" s="47">
        <f>SystemModel!DR48</f>
        <v>36478.293960885683</v>
      </c>
      <c r="M9" s="47"/>
    </row>
    <row r="10" spans="3:15" x14ac:dyDescent="0.35"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3:15" x14ac:dyDescent="0.35">
      <c r="D11" s="53" t="s">
        <v>147</v>
      </c>
      <c r="E11" s="47">
        <f>SystemModel!X64</f>
        <v>31.306460927888907</v>
      </c>
      <c r="F11" s="53" t="s">
        <v>147</v>
      </c>
      <c r="G11" s="47">
        <f>SystemModel!AZ64</f>
        <v>-161.82177059531421</v>
      </c>
      <c r="H11" s="53" t="s">
        <v>147</v>
      </c>
      <c r="I11" s="47">
        <f>SystemModel!CB64</f>
        <v>228.47579587219798</v>
      </c>
      <c r="J11" s="53" t="s">
        <v>147</v>
      </c>
      <c r="K11" s="47">
        <f>SystemModel!DD64</f>
        <v>33.496706486056269</v>
      </c>
      <c r="L11" s="53" t="s">
        <v>147</v>
      </c>
      <c r="M11" s="47">
        <f>SystemModel!EF64</f>
        <v>-300</v>
      </c>
      <c r="N11" s="53" t="s">
        <v>147</v>
      </c>
      <c r="O11">
        <f>SystemModel!FB58</f>
        <v>-300</v>
      </c>
    </row>
    <row r="12" spans="3:15" x14ac:dyDescent="0.35"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3:15" x14ac:dyDescent="0.35">
      <c r="D13" s="47">
        <f>SystemModel!J79</f>
        <v>49957.50993645464</v>
      </c>
      <c r="E13" s="47"/>
      <c r="F13" s="47">
        <f>SystemModel!AL79</f>
        <v>46826.863843665749</v>
      </c>
      <c r="G13" s="47"/>
      <c r="H13" s="47">
        <f>SystemModel!BN79</f>
        <v>33009.040903197172</v>
      </c>
      <c r="I13" s="47"/>
      <c r="J13" s="47">
        <f>SystemModel!CP79</f>
        <v>40161.461315977373</v>
      </c>
      <c r="K13" s="47"/>
      <c r="L13" s="47">
        <f>SystemModel!DR79</f>
        <v>36811.790667371744</v>
      </c>
      <c r="M13" s="47"/>
    </row>
    <row r="14" spans="3:15" x14ac:dyDescent="0.35"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3:15" x14ac:dyDescent="0.35"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3:15" x14ac:dyDescent="0.35">
      <c r="D16" s="47"/>
      <c r="E16" s="47"/>
      <c r="F16" s="47"/>
      <c r="G16" s="47"/>
      <c r="H16" s="47"/>
      <c r="I16" s="47"/>
      <c r="J16" s="47"/>
      <c r="K16" s="47"/>
      <c r="L16" s="47"/>
      <c r="M16" s="47"/>
    </row>
  </sheetData>
  <phoneticPr fontId="1"/>
  <conditionalFormatting sqref="C1:P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SystemModel</vt:lpstr>
      <vt:lpstr>solver</vt:lpstr>
      <vt:lpstr>Lib_HeatTransfer</vt:lpstr>
      <vt:lpstr>ExtrT</vt:lpstr>
      <vt:lpstr>ExtrQ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zeta-plusplus</dc:creator>
  <dc:description/>
  <cp:lastModifiedBy>grabacr</cp:lastModifiedBy>
  <cp:revision>4</cp:revision>
  <dcterms:created xsi:type="dcterms:W3CDTF">2021-07-17T13:54:00Z</dcterms:created>
  <dcterms:modified xsi:type="dcterms:W3CDTF">2022-03-26T11:11:39Z</dcterms:modified>
  <dc:language>ja-JP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1041-11.2.0.10223</vt:lpwstr>
  </property>
</Properties>
</file>