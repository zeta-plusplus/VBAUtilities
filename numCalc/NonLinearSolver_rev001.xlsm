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bacr\Dropbox\01-sharedspace\VBA-shared\VBAUtilities\numCalc\"/>
    </mc:Choice>
  </mc:AlternateContent>
  <xr:revisionPtr revIDLastSave="0" documentId="13_ncr:1_{4F34F1FD-ACF6-4F50-991F-D69ED47B84C8}" xr6:coauthVersionLast="47" xr6:coauthVersionMax="47" xr10:uidLastSave="{00000000-0000-0000-0000-000000000000}"/>
  <bookViews>
    <workbookView xWindow="-120" yWindow="-120" windowWidth="29040" windowHeight="17790" activeTab="1" xr2:uid="{00000000-000D-0000-FFFF-FFFF00000000}"/>
  </bookViews>
  <sheets>
    <sheet name="Sheet1" sheetId="2" r:id="rId1"/>
    <sheet name="calc" sheetId="1" r:id="rId2"/>
  </sheets>
  <definedNames>
    <definedName name="_xlnm._FilterDatabase" localSheetId="1" hidden="1">calc!#REF!</definedName>
    <definedName name="solver_adj" localSheetId="1" hidden="1">calc!#REF!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calc!#REF!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calcMode="manual" iterate="1" iterateCount="1000" iterateDelta="1.0000000000000001E-5" calcCompleted="0" calcOnSave="0"/>
</workbook>
</file>

<file path=xl/calcChain.xml><?xml version="1.0" encoding="utf-8"?>
<calcChain xmlns="http://schemas.openxmlformats.org/spreadsheetml/2006/main">
  <c r="N41" i="1" l="1"/>
  <c r="N40" i="1"/>
  <c r="O1" i="1"/>
  <c r="N1" i="1"/>
  <c r="N12" i="1" s="1"/>
  <c r="M1" i="1"/>
  <c r="L1" i="1"/>
  <c r="A3" i="1"/>
  <c r="A4" i="1"/>
  <c r="A5" i="1"/>
  <c r="H1" i="1"/>
  <c r="G1" i="1"/>
  <c r="A33" i="1"/>
  <c r="A34" i="1"/>
  <c r="A35" i="1"/>
  <c r="A6" i="1"/>
  <c r="A7" i="1"/>
  <c r="A8" i="1"/>
  <c r="A9" i="1"/>
  <c r="A19" i="1"/>
  <c r="A20" i="1"/>
  <c r="A21" i="1"/>
  <c r="A22" i="1"/>
  <c r="A23" i="1"/>
  <c r="A31" i="1"/>
  <c r="C1" i="1"/>
  <c r="D1" i="1"/>
  <c r="A32" i="1"/>
  <c r="A10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0" i="1"/>
  <c r="A29" i="1"/>
  <c r="A28" i="1"/>
  <c r="A27" i="1"/>
  <c r="A26" i="1"/>
  <c r="A25" i="1"/>
  <c r="A24" i="1"/>
  <c r="A44" i="1"/>
  <c r="A43" i="1"/>
  <c r="A42" i="1"/>
  <c r="F41" i="1"/>
  <c r="A41" i="1"/>
  <c r="F40" i="1"/>
  <c r="A40" i="1"/>
  <c r="A39" i="1"/>
  <c r="A38" i="1"/>
  <c r="A37" i="1"/>
  <c r="A36" i="1"/>
  <c r="A18" i="1"/>
  <c r="A17" i="1"/>
  <c r="A16" i="1"/>
  <c r="A15" i="1"/>
  <c r="A14" i="1"/>
  <c r="A13" i="1"/>
  <c r="A12" i="1"/>
  <c r="A11" i="1"/>
  <c r="A2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K1" i="1"/>
  <c r="J1" i="1"/>
  <c r="I1" i="1"/>
  <c r="F1" i="1"/>
  <c r="F9" i="1" s="1"/>
  <c r="E1" i="1"/>
  <c r="B1" i="1"/>
  <c r="A1" i="1"/>
  <c r="N43" i="1" l="1"/>
  <c r="N13" i="1"/>
  <c r="N14" i="1"/>
  <c r="N7" i="1"/>
  <c r="N15" i="1"/>
  <c r="N8" i="1"/>
  <c r="N16" i="1"/>
  <c r="N9" i="1"/>
  <c r="N17" i="1"/>
  <c r="N10" i="1"/>
  <c r="N11" i="1"/>
  <c r="F13" i="1"/>
  <c r="F14" i="1"/>
  <c r="F16" i="1"/>
  <c r="F15" i="1"/>
  <c r="F17" i="1"/>
  <c r="F10" i="1"/>
  <c r="F11" i="1"/>
  <c r="F12" i="1"/>
  <c r="F7" i="1"/>
  <c r="F8" i="1"/>
  <c r="F43" i="1"/>
</calcChain>
</file>

<file path=xl/sharedStrings.xml><?xml version="1.0" encoding="utf-8"?>
<sst xmlns="http://schemas.openxmlformats.org/spreadsheetml/2006/main" count="326" uniqueCount="49">
  <si>
    <t>range x_n</t>
  </si>
  <si>
    <t>range f_n</t>
  </si>
  <si>
    <t>range dx</t>
  </si>
  <si>
    <t>range Ulim_delta_x</t>
  </si>
  <si>
    <t>range delta_x</t>
  </si>
  <si>
    <t>x_n</t>
  </si>
  <si>
    <t>f_n</t>
  </si>
  <si>
    <t>dx</t>
  </si>
  <si>
    <t>Ulim_delta_x</t>
  </si>
  <si>
    <t>delta_x</t>
  </si>
  <si>
    <r>
      <rPr>
        <sz val="10"/>
        <rFont val="游ゴシック"/>
        <family val="3"/>
        <charset val="128"/>
      </rPr>
      <t>----------</t>
    </r>
    <phoneticPr fontId="1"/>
  </si>
  <si>
    <t>sqrt(sum(f_n^2))</t>
    <phoneticPr fontId="1"/>
  </si>
  <si>
    <r>
      <t>[</t>
    </r>
    <r>
      <rPr>
        <sz val="10"/>
        <rFont val="游ゴシック"/>
        <family val="3"/>
        <charset val="128"/>
      </rPr>
      <t>1,2]</t>
    </r>
    <phoneticPr fontId="1"/>
  </si>
  <si>
    <t>[1,1]</t>
    <phoneticPr fontId="1"/>
  </si>
  <si>
    <t>[2,1]</t>
    <phoneticPr fontId="1"/>
  </si>
  <si>
    <t>[2,2]</t>
    <phoneticPr fontId="1"/>
  </si>
  <si>
    <r>
      <t>r</t>
    </r>
    <r>
      <rPr>
        <sz val="10"/>
        <rFont val="游ゴシック"/>
        <family val="3"/>
        <charset val="128"/>
      </rPr>
      <t>ange Jacobian</t>
    </r>
    <phoneticPr fontId="1"/>
  </si>
  <si>
    <r>
      <t>r</t>
    </r>
    <r>
      <rPr>
        <sz val="10"/>
        <rFont val="游ゴシック"/>
        <family val="3"/>
        <charset val="128"/>
      </rPr>
      <t>ange delta_f</t>
    </r>
    <phoneticPr fontId="1"/>
  </si>
  <si>
    <t>delta_f</t>
    <phoneticPr fontId="1"/>
  </si>
  <si>
    <r>
      <t>r</t>
    </r>
    <r>
      <rPr>
        <sz val="10"/>
        <rFont val="游ゴシック"/>
        <family val="3"/>
        <charset val="128"/>
      </rPr>
      <t>ange_flags</t>
    </r>
    <phoneticPr fontId="1"/>
  </si>
  <si>
    <t>flag_invertible</t>
    <phoneticPr fontId="1"/>
  </si>
  <si>
    <t>flags</t>
    <phoneticPr fontId="1"/>
  </si>
  <si>
    <t>Jacobian</t>
    <phoneticPr fontId="1"/>
  </si>
  <si>
    <r>
      <t>r</t>
    </r>
    <r>
      <rPr>
        <sz val="10"/>
        <rFont val="游ゴシック"/>
        <family val="3"/>
        <charset val="128"/>
      </rPr>
      <t>anges</t>
    </r>
    <phoneticPr fontId="1"/>
  </si>
  <si>
    <r>
      <t>[</t>
    </r>
    <r>
      <rPr>
        <sz val="10"/>
        <rFont val="游ゴシック"/>
        <family val="3"/>
        <charset val="128"/>
      </rPr>
      <t>1]</t>
    </r>
    <phoneticPr fontId="1"/>
  </si>
  <si>
    <t>[2]</t>
    <phoneticPr fontId="1"/>
  </si>
  <si>
    <t>[1]</t>
    <phoneticPr fontId="1"/>
  </si>
  <si>
    <r>
      <t>r</t>
    </r>
    <r>
      <rPr>
        <sz val="10"/>
        <rFont val="游ゴシック"/>
        <family val="3"/>
        <charset val="128"/>
      </rPr>
      <t>ange switches</t>
    </r>
    <phoneticPr fontId="1"/>
  </si>
  <si>
    <t>switches</t>
    <phoneticPr fontId="1"/>
  </si>
  <si>
    <t>calc scope</t>
    <phoneticPr fontId="1"/>
  </si>
  <si>
    <t>method</t>
    <phoneticPr fontId="1"/>
  </si>
  <si>
    <t>Newton</t>
    <phoneticPr fontId="1"/>
  </si>
  <si>
    <t>ThisSheet</t>
    <phoneticPr fontId="1"/>
  </si>
  <si>
    <t>exec/not</t>
    <phoneticPr fontId="1"/>
  </si>
  <si>
    <t>NotUnderExec</t>
    <phoneticPr fontId="1"/>
  </si>
  <si>
    <t>flag_underExec</t>
    <phoneticPr fontId="1"/>
  </si>
  <si>
    <t>invertible</t>
    <phoneticPr fontId="1"/>
  </si>
  <si>
    <t>exec</t>
    <phoneticPr fontId="1"/>
  </si>
  <si>
    <t>range x_prev</t>
    <phoneticPr fontId="1"/>
  </si>
  <si>
    <t>range f_prev</t>
    <phoneticPr fontId="1"/>
  </si>
  <si>
    <t>x_prev</t>
    <phoneticPr fontId="1"/>
  </si>
  <si>
    <t>f_prev</t>
    <phoneticPr fontId="1"/>
  </si>
  <si>
    <t>|</t>
    <phoneticPr fontId="1"/>
  </si>
  <si>
    <t>sample: simple 2-roots non-linear equations</t>
    <phoneticPr fontId="1"/>
  </si>
  <si>
    <t>---↑add/redmove cells----------</t>
    <phoneticPr fontId="1"/>
  </si>
  <si>
    <r>
      <t>i</t>
    </r>
    <r>
      <rPr>
        <sz val="10"/>
        <rFont val="游ゴシック"/>
        <family val="3"/>
        <charset val="128"/>
      </rPr>
      <t>nput</t>
    </r>
    <phoneticPr fontId="1"/>
  </si>
  <si>
    <t>sample: fluid flow network</t>
    <phoneticPr fontId="1"/>
  </si>
  <si>
    <r>
      <t>i</t>
    </r>
    <r>
      <rPr>
        <sz val="10"/>
        <rFont val="游ゴシック"/>
        <family val="3"/>
        <charset val="128"/>
      </rPr>
      <t>ndependent</t>
    </r>
    <phoneticPr fontId="1"/>
  </si>
  <si>
    <r>
      <t>d</t>
    </r>
    <r>
      <rPr>
        <sz val="10"/>
        <rFont val="游ゴシック"/>
        <family val="3"/>
        <charset val="128"/>
      </rPr>
      <t>ependent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</si>
</sst>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"/>
    <numFmt numFmtId="177" formatCode="0.0.E+00"/>
    <numFmt numFmtId="178" formatCode="0.0E+00"/>
    <numFmt numFmtId="179" formatCode="0.000"/>
    <numFmt numFmtId="180" formatCode="0.000000"/>
  </numFmts>
  <fonts count="3" x14ac:knownFonts="1">
    <font>
      <sz val="10"/>
      <name val="游ゴシック"/>
      <charset val="128"/>
    </font>
    <font>
      <sz val="6"/>
      <name val="游ゴシック"/>
      <family val="3"/>
      <charset val="128"/>
    </font>
    <font>
      <sz val="1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2" fillId="0" borderId="0" xfId="0" applyFont="1" applyFill="1"/>
    <xf numFmtId="0" fontId="2" fillId="0" borderId="0" xfId="0" quotePrefix="1" applyFont="1" applyFill="1"/>
    <xf numFmtId="180" fontId="0" fillId="0" borderId="0" xfId="0" applyNumberFormat="1" applyFill="1"/>
    <xf numFmtId="0" fontId="0" fillId="0" borderId="0" xfId="0" applyFont="1" applyFill="1"/>
    <xf numFmtId="176" fontId="0" fillId="0" borderId="0" xfId="0" applyNumberFormat="1" applyFill="1"/>
    <xf numFmtId="176" fontId="0" fillId="0" borderId="0" xfId="0" applyNumberFormat="1" applyFont="1" applyFill="1"/>
    <xf numFmtId="178" fontId="0" fillId="0" borderId="0" xfId="0" applyNumberFormat="1" applyFill="1"/>
    <xf numFmtId="177" fontId="2" fillId="0" borderId="0" xfId="0" quotePrefix="1" applyNumberFormat="1" applyFont="1" applyFill="1"/>
    <xf numFmtId="177" fontId="0" fillId="0" borderId="0" xfId="0" applyNumberFormat="1" applyFill="1"/>
    <xf numFmtId="179" fontId="0" fillId="0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C536-708E-4AAB-8312-72973D232BC3}">
  <sheetPr codeName="Sheet2"/>
  <dimension ref="A1"/>
  <sheetViews>
    <sheetView workbookViewId="0"/>
  </sheetViews>
  <sheetFormatPr defaultRowHeight="16.5" x14ac:dyDescent="0.3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72"/>
  <sheetViews>
    <sheetView tabSelected="1" zoomScale="90" zoomScaleNormal="90" zoomScalePageLayoutView="60" workbookViewId="0">
      <pane xSplit="15030" ySplit="3495" topLeftCell="F13" activePane="bottomLeft"/>
      <selection activeCell="N4" sqref="N4"/>
      <selection pane="topRight" activeCell="F1" sqref="F1"/>
      <selection pane="bottomLeft" activeCell="C39" sqref="C39"/>
      <selection pane="bottomRight" activeCell="L12" sqref="L12"/>
    </sheetView>
  </sheetViews>
  <sheetFormatPr defaultColWidth="10.7109375" defaultRowHeight="16.5" customHeight="1" x14ac:dyDescent="0.35"/>
  <cols>
    <col min="1" max="1" width="4.7109375" style="1" customWidth="1"/>
    <col min="2" max="2" width="3.5703125" style="1" customWidth="1"/>
    <col min="3" max="3" width="8.5703125" style="1" customWidth="1"/>
    <col min="4" max="4" width="5.7109375" style="1" customWidth="1"/>
    <col min="5" max="5" width="13.28515625" style="1" customWidth="1"/>
    <col min="6" max="6" width="14.85546875" style="1" customWidth="1"/>
    <col min="7" max="7" width="4.85546875" style="1" customWidth="1"/>
    <col min="8" max="8" width="5.85546875" style="1" customWidth="1"/>
    <col min="9" max="11" width="10.7109375" style="1"/>
    <col min="12" max="12" width="5.7109375" style="1" customWidth="1"/>
    <col min="13" max="13" width="13.28515625" style="1" customWidth="1"/>
    <col min="14" max="14" width="14.85546875" style="1" customWidth="1"/>
    <col min="15" max="15" width="4.85546875" style="1" customWidth="1"/>
    <col min="16" max="16384" width="10.7109375" style="1"/>
  </cols>
  <sheetData>
    <row r="1" spans="1:33" ht="16.5" customHeight="1" x14ac:dyDescent="0.35">
      <c r="A1" s="1" t="str">
        <f ca="1">SUBSTITUTE(ADDRESS(1,COLUMN(),4),1,"")</f>
        <v>A</v>
      </c>
      <c r="B1" s="1" t="str">
        <f t="shared" ref="B1:AG1" ca="1" si="0">SUBSTITUTE(ADDRESS(1,COLUMN(),4),1,"")</f>
        <v>B</v>
      </c>
      <c r="C1" s="1" t="str">
        <f t="shared" ca="1" si="0"/>
        <v>C</v>
      </c>
      <c r="D1" s="1" t="str">
        <f t="shared" ca="1" si="0"/>
        <v>D</v>
      </c>
      <c r="E1" s="1" t="str">
        <f t="shared" ca="1" si="0"/>
        <v>E</v>
      </c>
      <c r="F1" s="1" t="str">
        <f t="shared" ca="1" si="0"/>
        <v>F</v>
      </c>
      <c r="G1" s="1" t="str">
        <f t="shared" ca="1" si="0"/>
        <v>G</v>
      </c>
      <c r="H1" s="1" t="str">
        <f t="shared" ca="1" si="0"/>
        <v>H</v>
      </c>
      <c r="I1" s="1" t="str">
        <f t="shared" ca="1" si="0"/>
        <v>I</v>
      </c>
      <c r="J1" s="1" t="str">
        <f t="shared" ca="1" si="0"/>
        <v>J</v>
      </c>
      <c r="K1" s="1" t="str">
        <f t="shared" ca="1" si="0"/>
        <v>K</v>
      </c>
      <c r="L1" s="1" t="str">
        <f t="shared" ca="1" si="0"/>
        <v>L</v>
      </c>
      <c r="M1" s="1" t="str">
        <f t="shared" ca="1" si="0"/>
        <v>M</v>
      </c>
      <c r="N1" s="1" t="str">
        <f t="shared" ca="1" si="0"/>
        <v>N</v>
      </c>
      <c r="O1" s="1" t="str">
        <f t="shared" ca="1" si="0"/>
        <v>O</v>
      </c>
      <c r="P1" s="1" t="str">
        <f t="shared" ca="1" si="0"/>
        <v>P</v>
      </c>
      <c r="Q1" s="1" t="str">
        <f t="shared" ca="1" si="0"/>
        <v>Q</v>
      </c>
      <c r="R1" s="1" t="str">
        <f t="shared" ca="1" si="0"/>
        <v>R</v>
      </c>
      <c r="S1" s="1" t="str">
        <f t="shared" ca="1" si="0"/>
        <v>S</v>
      </c>
      <c r="T1" s="1" t="str">
        <f t="shared" ca="1" si="0"/>
        <v>T</v>
      </c>
      <c r="U1" s="1" t="str">
        <f t="shared" ca="1" si="0"/>
        <v>U</v>
      </c>
      <c r="V1" s="1" t="str">
        <f t="shared" ca="1" si="0"/>
        <v>V</v>
      </c>
      <c r="W1" s="1" t="str">
        <f t="shared" ca="1" si="0"/>
        <v>W</v>
      </c>
      <c r="X1" s="1" t="str">
        <f t="shared" ca="1" si="0"/>
        <v>X</v>
      </c>
      <c r="Y1" s="1" t="str">
        <f t="shared" ca="1" si="0"/>
        <v>Y</v>
      </c>
      <c r="Z1" s="1" t="str">
        <f t="shared" ca="1" si="0"/>
        <v>Z</v>
      </c>
      <c r="AA1" s="1" t="str">
        <f t="shared" ca="1" si="0"/>
        <v>AA</v>
      </c>
      <c r="AB1" s="1" t="str">
        <f t="shared" ca="1" si="0"/>
        <v>AB</v>
      </c>
      <c r="AC1" s="1" t="str">
        <f t="shared" ca="1" si="0"/>
        <v>AC</v>
      </c>
      <c r="AD1" s="1" t="str">
        <f t="shared" ca="1" si="0"/>
        <v>AD</v>
      </c>
      <c r="AE1" s="1" t="str">
        <f t="shared" ca="1" si="0"/>
        <v>AE</v>
      </c>
      <c r="AF1" s="1" t="str">
        <f t="shared" ca="1" si="0"/>
        <v>AF</v>
      </c>
      <c r="AG1" s="1" t="str">
        <f t="shared" ca="1" si="0"/>
        <v>AG</v>
      </c>
    </row>
    <row r="2" spans="1:33" ht="16.5" customHeight="1" x14ac:dyDescent="0.35">
      <c r="A2" s="1">
        <f ca="1">ROW()</f>
        <v>2</v>
      </c>
    </row>
    <row r="3" spans="1:33" ht="16.5" customHeight="1" x14ac:dyDescent="0.35">
      <c r="A3" s="1">
        <f ca="1">ROW()</f>
        <v>3</v>
      </c>
      <c r="F3" s="2" t="s">
        <v>43</v>
      </c>
      <c r="N3" s="2" t="s">
        <v>46</v>
      </c>
    </row>
    <row r="4" spans="1:33" ht="16.5" customHeight="1" x14ac:dyDescent="0.35">
      <c r="A4" s="1">
        <f ca="1">ROW()</f>
        <v>4</v>
      </c>
      <c r="C4" s="2" t="s">
        <v>45</v>
      </c>
      <c r="E4" s="2" t="s">
        <v>33</v>
      </c>
      <c r="F4" s="2" t="s">
        <v>37</v>
      </c>
      <c r="G4" s="2" t="s">
        <v>42</v>
      </c>
      <c r="H4" s="2"/>
      <c r="K4" s="2" t="s">
        <v>45</v>
      </c>
      <c r="M4" s="2" t="s">
        <v>33</v>
      </c>
      <c r="N4" s="2" t="s">
        <v>37</v>
      </c>
      <c r="O4" s="2" t="s">
        <v>42</v>
      </c>
    </row>
    <row r="5" spans="1:33" ht="16.5" customHeight="1" x14ac:dyDescent="0.35">
      <c r="A5" s="1">
        <f ca="1">ROW()</f>
        <v>5</v>
      </c>
      <c r="C5" s="2"/>
      <c r="F5" s="2"/>
      <c r="G5" s="2" t="s">
        <v>42</v>
      </c>
      <c r="N5" s="2"/>
      <c r="O5" s="2" t="s">
        <v>42</v>
      </c>
    </row>
    <row r="6" spans="1:33" ht="16.5" customHeight="1" x14ac:dyDescent="0.35">
      <c r="A6" s="1">
        <f ca="1">ROW()</f>
        <v>6</v>
      </c>
      <c r="C6" s="2" t="s">
        <v>45</v>
      </c>
      <c r="D6" s="2" t="s">
        <v>23</v>
      </c>
      <c r="G6" s="2" t="s">
        <v>42</v>
      </c>
      <c r="K6" s="2" t="s">
        <v>45</v>
      </c>
      <c r="L6" s="2" t="s">
        <v>23</v>
      </c>
      <c r="O6" s="2" t="s">
        <v>42</v>
      </c>
    </row>
    <row r="7" spans="1:33" ht="16.5" customHeight="1" x14ac:dyDescent="0.35">
      <c r="A7" s="1">
        <f ca="1">ROW()</f>
        <v>7</v>
      </c>
      <c r="D7" s="2"/>
      <c r="E7" s="2" t="s">
        <v>27</v>
      </c>
      <c r="F7" s="1" t="str">
        <f ca="1">F$1&amp;ROW(F20)&amp;":"&amp;F$1&amp;(ROW(F22)-1)</f>
        <v>F20:F21</v>
      </c>
      <c r="G7" s="2" t="s">
        <v>42</v>
      </c>
      <c r="L7" s="2"/>
      <c r="M7" s="2" t="s">
        <v>27</v>
      </c>
      <c r="N7" s="1" t="str">
        <f ca="1">N$1&amp;ROW(N20)&amp;":"&amp;N$1&amp;(ROW(N22)-1)</f>
        <v>N20:N21</v>
      </c>
      <c r="O7" s="2" t="s">
        <v>42</v>
      </c>
    </row>
    <row r="8" spans="1:33" ht="16.5" customHeight="1" x14ac:dyDescent="0.35">
      <c r="A8" s="1">
        <f ca="1">ROW()</f>
        <v>8</v>
      </c>
      <c r="E8" s="1" t="s">
        <v>2</v>
      </c>
      <c r="F8" s="1" t="str">
        <f ca="1">F$1&amp;ROW(F24)&amp;":"&amp;F$1&amp;(ROW(F26)-1)</f>
        <v>F24:F25</v>
      </c>
      <c r="G8" s="2" t="s">
        <v>42</v>
      </c>
      <c r="M8" s="1" t="s">
        <v>2</v>
      </c>
      <c r="N8" s="1" t="str">
        <f ca="1">N$1&amp;ROW(N24)&amp;":"&amp;N$1&amp;(ROW(N26)-1)</f>
        <v>N24:N25</v>
      </c>
      <c r="O8" s="2" t="s">
        <v>42</v>
      </c>
    </row>
    <row r="9" spans="1:33" ht="16.5" customHeight="1" x14ac:dyDescent="0.35">
      <c r="A9" s="1">
        <f ca="1">ROW()</f>
        <v>9</v>
      </c>
      <c r="E9" s="1" t="s">
        <v>3</v>
      </c>
      <c r="F9" s="1" t="str">
        <f ca="1">F$1&amp;ROW(F28)&amp;":"&amp;F$1&amp;(ROW(F30)-1)</f>
        <v>F28:F29</v>
      </c>
      <c r="G9" s="2" t="s">
        <v>42</v>
      </c>
      <c r="M9" s="1" t="s">
        <v>3</v>
      </c>
      <c r="N9" s="1" t="str">
        <f ca="1">N$1&amp;ROW(N28)&amp;":"&amp;N$1&amp;(ROW(N30)-1)</f>
        <v>N28:N29</v>
      </c>
      <c r="O9" s="2" t="s">
        <v>42</v>
      </c>
    </row>
    <row r="10" spans="1:33" ht="16.5" customHeight="1" x14ac:dyDescent="0.35">
      <c r="A10" s="1">
        <f ca="1">ROW()</f>
        <v>10</v>
      </c>
      <c r="D10" s="2"/>
      <c r="E10" s="2" t="s">
        <v>19</v>
      </c>
      <c r="F10" s="1" t="str">
        <f ca="1">F$1&amp;ROW(F32)&amp;":"&amp;F$1&amp;(ROW(F34)-1)</f>
        <v>F32:F33</v>
      </c>
      <c r="G10" s="2" t="s">
        <v>42</v>
      </c>
      <c r="L10" s="2"/>
      <c r="M10" s="2" t="s">
        <v>19</v>
      </c>
      <c r="N10" s="1" t="str">
        <f ca="1">N$1&amp;ROW(N32)&amp;":"&amp;N$1&amp;(ROW(N34)-1)</f>
        <v>N32:N33</v>
      </c>
      <c r="O10" s="2" t="s">
        <v>42</v>
      </c>
    </row>
    <row r="11" spans="1:33" ht="16.5" customHeight="1" x14ac:dyDescent="0.35">
      <c r="A11" s="1">
        <f ca="1">ROW()</f>
        <v>11</v>
      </c>
      <c r="E11" s="1" t="s">
        <v>0</v>
      </c>
      <c r="F11" s="1" t="str">
        <f ca="1">F$1&amp;ROW(F36)&amp;":"&amp;F$1&amp;(ROW(F38)-1)</f>
        <v>F36:F37</v>
      </c>
      <c r="G11" s="2" t="s">
        <v>42</v>
      </c>
      <c r="M11" s="1" t="s">
        <v>0</v>
      </c>
      <c r="N11" s="1" t="str">
        <f ca="1">N$1&amp;ROW(N36)&amp;":"&amp;N$1&amp;(ROW(N38)-1)</f>
        <v>N36:N37</v>
      </c>
      <c r="O11" s="2" t="s">
        <v>42</v>
      </c>
    </row>
    <row r="12" spans="1:33" ht="16.5" customHeight="1" x14ac:dyDescent="0.35">
      <c r="A12" s="1">
        <f ca="1">ROW()</f>
        <v>12</v>
      </c>
      <c r="E12" s="1" t="s">
        <v>1</v>
      </c>
      <c r="F12" s="1" t="str">
        <f ca="1">F$1&amp;ROW(F40)&amp;":"&amp;F$1&amp;(ROW(F42)-1)</f>
        <v>F40:F41</v>
      </c>
      <c r="G12" s="2" t="s">
        <v>42</v>
      </c>
      <c r="M12" s="1" t="s">
        <v>1</v>
      </c>
      <c r="N12" s="1" t="str">
        <f ca="1">N$1&amp;ROW(N40)&amp;":"&amp;N$1&amp;(ROW(N42)-1)</f>
        <v>N40:N41</v>
      </c>
      <c r="O12" s="2" t="s">
        <v>42</v>
      </c>
    </row>
    <row r="13" spans="1:33" ht="16.5" customHeight="1" x14ac:dyDescent="0.35">
      <c r="A13" s="1">
        <f ca="1">ROW()</f>
        <v>13</v>
      </c>
      <c r="E13" s="1" t="s">
        <v>4</v>
      </c>
      <c r="F13" s="1" t="str">
        <f ca="1">F$1&amp;ROW(F46)&amp;":"&amp;F$1&amp;(ROW(F48)-1)</f>
        <v>F46:F47</v>
      </c>
      <c r="G13" s="2" t="s">
        <v>42</v>
      </c>
      <c r="M13" s="1" t="s">
        <v>4</v>
      </c>
      <c r="N13" s="1" t="str">
        <f ca="1">N$1&amp;ROW(N46)&amp;":"&amp;N$1&amp;(ROW(N48)-1)</f>
        <v>N46:N47</v>
      </c>
      <c r="O13" s="2" t="s">
        <v>42</v>
      </c>
    </row>
    <row r="14" spans="1:33" ht="16.5" customHeight="1" x14ac:dyDescent="0.35">
      <c r="A14" s="1">
        <f ca="1">ROW()</f>
        <v>14</v>
      </c>
      <c r="E14" s="2" t="s">
        <v>38</v>
      </c>
      <c r="F14" s="1" t="str">
        <f ca="1">F$1&amp;ROW(F50)&amp;":"&amp;F$1&amp;(ROW(F52)-1)</f>
        <v>F50:F51</v>
      </c>
      <c r="G14" s="2" t="s">
        <v>42</v>
      </c>
      <c r="M14" s="2" t="s">
        <v>38</v>
      </c>
      <c r="N14" s="1" t="str">
        <f ca="1">N$1&amp;ROW(N50)&amp;":"&amp;N$1&amp;(ROW(N52)-1)</f>
        <v>N50:N51</v>
      </c>
      <c r="O14" s="2" t="s">
        <v>42</v>
      </c>
    </row>
    <row r="15" spans="1:33" ht="16.5" customHeight="1" x14ac:dyDescent="0.35">
      <c r="A15" s="1">
        <f ca="1">ROW()</f>
        <v>15</v>
      </c>
      <c r="E15" s="2" t="s">
        <v>39</v>
      </c>
      <c r="F15" s="1" t="str">
        <f ca="1">F$1&amp;ROW(F54)&amp;":"&amp;F$1&amp;(ROW(F56)-1)</f>
        <v>F54:F55</v>
      </c>
      <c r="G15" s="2" t="s">
        <v>42</v>
      </c>
      <c r="M15" s="2" t="s">
        <v>39</v>
      </c>
      <c r="N15" s="1" t="str">
        <f ca="1">N$1&amp;ROW(N54)&amp;":"&amp;N$1&amp;(ROW(N56)-1)</f>
        <v>N54:N55</v>
      </c>
      <c r="O15" s="2" t="s">
        <v>42</v>
      </c>
    </row>
    <row r="16" spans="1:33" ht="16.5" customHeight="1" x14ac:dyDescent="0.35">
      <c r="A16" s="1">
        <f ca="1">ROW()</f>
        <v>16</v>
      </c>
      <c r="E16" s="2" t="s">
        <v>17</v>
      </c>
      <c r="F16" s="1" t="str">
        <f ca="1">F$1&amp;ROW(F58)&amp;":"&amp;F$1&amp;(ROW(F60)-1)</f>
        <v>F58:F59</v>
      </c>
      <c r="G16" s="2" t="s">
        <v>42</v>
      </c>
      <c r="M16" s="2" t="s">
        <v>17</v>
      </c>
      <c r="N16" s="1" t="str">
        <f ca="1">N$1&amp;ROW(N58)&amp;":"&amp;N$1&amp;(ROW(N60)-1)</f>
        <v>N58:N59</v>
      </c>
      <c r="O16" s="2" t="s">
        <v>42</v>
      </c>
    </row>
    <row r="17" spans="1:15" ht="16.5" customHeight="1" x14ac:dyDescent="0.35">
      <c r="A17" s="1">
        <f ca="1">ROW()</f>
        <v>17</v>
      </c>
      <c r="E17" s="2" t="s">
        <v>16</v>
      </c>
      <c r="F17" s="1" t="str">
        <f ca="1">F$1&amp;ROW(F62)&amp;":"&amp;F$1&amp;(ROW(F66)-1)</f>
        <v>F62:F65</v>
      </c>
      <c r="G17" s="2" t="s">
        <v>42</v>
      </c>
      <c r="M17" s="2" t="s">
        <v>16</v>
      </c>
      <c r="N17" s="1" t="str">
        <f ca="1">N$1&amp;ROW(N62)&amp;":"&amp;N$1&amp;(ROW(N66)-1)</f>
        <v>N62:N65</v>
      </c>
      <c r="O17" s="2" t="s">
        <v>42</v>
      </c>
    </row>
    <row r="18" spans="1:15" ht="16.5" customHeight="1" x14ac:dyDescent="0.35">
      <c r="A18" s="1">
        <f ca="1">ROW()</f>
        <v>18</v>
      </c>
      <c r="D18" s="3" t="s">
        <v>10</v>
      </c>
      <c r="E18" s="3" t="s">
        <v>10</v>
      </c>
      <c r="F18" s="3" t="s">
        <v>10</v>
      </c>
      <c r="G18" s="2" t="s">
        <v>42</v>
      </c>
      <c r="L18" s="3" t="s">
        <v>10</v>
      </c>
      <c r="M18" s="3" t="s">
        <v>10</v>
      </c>
      <c r="N18" s="3" t="s">
        <v>10</v>
      </c>
      <c r="O18" s="2" t="s">
        <v>42</v>
      </c>
    </row>
    <row r="19" spans="1:15" ht="16.5" customHeight="1" x14ac:dyDescent="0.35">
      <c r="A19" s="1">
        <f ca="1">ROW()</f>
        <v>19</v>
      </c>
      <c r="C19" s="2" t="s">
        <v>45</v>
      </c>
      <c r="D19" s="3" t="s">
        <v>28</v>
      </c>
      <c r="E19" s="3"/>
      <c r="F19" s="3"/>
      <c r="G19" s="2" t="s">
        <v>42</v>
      </c>
      <c r="K19" s="2" t="s">
        <v>45</v>
      </c>
      <c r="L19" s="3" t="s">
        <v>28</v>
      </c>
      <c r="M19" s="3"/>
      <c r="N19" s="3"/>
      <c r="O19" s="2" t="s">
        <v>42</v>
      </c>
    </row>
    <row r="20" spans="1:15" ht="16.5" customHeight="1" x14ac:dyDescent="0.35">
      <c r="A20" s="1">
        <f ca="1">ROW()</f>
        <v>20</v>
      </c>
      <c r="D20" s="3"/>
      <c r="E20" s="3" t="s">
        <v>29</v>
      </c>
      <c r="F20" s="3" t="s">
        <v>32</v>
      </c>
      <c r="G20" s="2" t="s">
        <v>42</v>
      </c>
      <c r="L20" s="3"/>
      <c r="M20" s="3" t="s">
        <v>29</v>
      </c>
      <c r="N20" s="3" t="s">
        <v>32</v>
      </c>
      <c r="O20" s="2" t="s">
        <v>42</v>
      </c>
    </row>
    <row r="21" spans="1:15" ht="16.5" customHeight="1" x14ac:dyDescent="0.35">
      <c r="A21" s="1">
        <f ca="1">ROW()</f>
        <v>21</v>
      </c>
      <c r="D21" s="3"/>
      <c r="E21" s="3" t="s">
        <v>30</v>
      </c>
      <c r="F21" s="3" t="s">
        <v>31</v>
      </c>
      <c r="G21" s="2" t="s">
        <v>42</v>
      </c>
      <c r="L21" s="3"/>
      <c r="M21" s="3" t="s">
        <v>30</v>
      </c>
      <c r="N21" s="3" t="s">
        <v>31</v>
      </c>
      <c r="O21" s="2" t="s">
        <v>42</v>
      </c>
    </row>
    <row r="22" spans="1:15" ht="16.5" customHeight="1" x14ac:dyDescent="0.35">
      <c r="A22" s="1">
        <f ca="1">ROW()</f>
        <v>22</v>
      </c>
      <c r="D22" s="3" t="s">
        <v>10</v>
      </c>
      <c r="E22" s="3" t="s">
        <v>10</v>
      </c>
      <c r="F22" s="3" t="s">
        <v>10</v>
      </c>
      <c r="G22" s="2" t="s">
        <v>42</v>
      </c>
      <c r="L22" s="3" t="s">
        <v>10</v>
      </c>
      <c r="M22" s="3" t="s">
        <v>10</v>
      </c>
      <c r="N22" s="3" t="s">
        <v>10</v>
      </c>
      <c r="O22" s="2" t="s">
        <v>42</v>
      </c>
    </row>
    <row r="23" spans="1:15" ht="16.5" customHeight="1" x14ac:dyDescent="0.35">
      <c r="A23" s="1">
        <f ca="1">ROW()</f>
        <v>23</v>
      </c>
      <c r="C23" s="2" t="s">
        <v>45</v>
      </c>
      <c r="D23" s="1" t="s">
        <v>7</v>
      </c>
      <c r="G23" s="2" t="s">
        <v>42</v>
      </c>
      <c r="K23" s="2" t="s">
        <v>45</v>
      </c>
      <c r="L23" s="1" t="s">
        <v>7</v>
      </c>
      <c r="O23" s="2" t="s">
        <v>42</v>
      </c>
    </row>
    <row r="24" spans="1:15" ht="16.5" customHeight="1" x14ac:dyDescent="0.35">
      <c r="A24" s="1">
        <f ca="1">ROW()</f>
        <v>24</v>
      </c>
      <c r="E24" s="2" t="s">
        <v>26</v>
      </c>
      <c r="F24" s="1">
        <v>1E-4</v>
      </c>
      <c r="G24" s="2" t="s">
        <v>42</v>
      </c>
      <c r="H24" s="4"/>
      <c r="M24" s="2" t="s">
        <v>26</v>
      </c>
      <c r="N24" s="1">
        <v>1E-4</v>
      </c>
      <c r="O24" s="2" t="s">
        <v>42</v>
      </c>
    </row>
    <row r="25" spans="1:15" ht="16.5" customHeight="1" x14ac:dyDescent="0.35">
      <c r="A25" s="1">
        <f ca="1">ROW()</f>
        <v>25</v>
      </c>
      <c r="E25" s="2" t="s">
        <v>25</v>
      </c>
      <c r="F25" s="1">
        <v>1E-4</v>
      </c>
      <c r="G25" s="2" t="s">
        <v>42</v>
      </c>
      <c r="M25" s="2" t="s">
        <v>25</v>
      </c>
      <c r="N25" s="1">
        <v>1E-4</v>
      </c>
      <c r="O25" s="2" t="s">
        <v>42</v>
      </c>
    </row>
    <row r="26" spans="1:15" ht="16.5" customHeight="1" x14ac:dyDescent="0.35">
      <c r="A26" s="1">
        <f ca="1">ROW()</f>
        <v>26</v>
      </c>
      <c r="D26" s="3" t="s">
        <v>10</v>
      </c>
      <c r="E26" s="3" t="s">
        <v>10</v>
      </c>
      <c r="F26" s="3" t="s">
        <v>44</v>
      </c>
      <c r="G26" s="2" t="s">
        <v>42</v>
      </c>
      <c r="L26" s="3" t="s">
        <v>10</v>
      </c>
      <c r="M26" s="3" t="s">
        <v>10</v>
      </c>
      <c r="N26" s="3" t="s">
        <v>44</v>
      </c>
      <c r="O26" s="2" t="s">
        <v>42</v>
      </c>
    </row>
    <row r="27" spans="1:15" ht="16.5" customHeight="1" x14ac:dyDescent="0.35">
      <c r="A27" s="1">
        <f ca="1">ROW()</f>
        <v>27</v>
      </c>
      <c r="C27" s="2" t="s">
        <v>45</v>
      </c>
      <c r="D27" s="1" t="s">
        <v>8</v>
      </c>
      <c r="G27" s="2" t="s">
        <v>42</v>
      </c>
      <c r="K27" s="2" t="s">
        <v>45</v>
      </c>
      <c r="L27" s="1" t="s">
        <v>8</v>
      </c>
      <c r="O27" s="2" t="s">
        <v>42</v>
      </c>
    </row>
    <row r="28" spans="1:15" ht="16.5" customHeight="1" x14ac:dyDescent="0.35">
      <c r="A28" s="1">
        <f ca="1">ROW()</f>
        <v>28</v>
      </c>
      <c r="E28" s="2" t="s">
        <v>24</v>
      </c>
      <c r="F28" s="1">
        <v>2</v>
      </c>
      <c r="G28" s="2" t="s">
        <v>42</v>
      </c>
      <c r="M28" s="2" t="s">
        <v>24</v>
      </c>
      <c r="N28" s="1">
        <v>2</v>
      </c>
      <c r="O28" s="2" t="s">
        <v>42</v>
      </c>
    </row>
    <row r="29" spans="1:15" ht="16.5" customHeight="1" x14ac:dyDescent="0.35">
      <c r="A29" s="1">
        <f ca="1">ROW()</f>
        <v>29</v>
      </c>
      <c r="E29" s="2" t="s">
        <v>25</v>
      </c>
      <c r="F29" s="1">
        <v>2</v>
      </c>
      <c r="G29" s="2" t="s">
        <v>42</v>
      </c>
      <c r="M29" s="2" t="s">
        <v>25</v>
      </c>
      <c r="N29" s="1">
        <v>2</v>
      </c>
      <c r="O29" s="2" t="s">
        <v>42</v>
      </c>
    </row>
    <row r="30" spans="1:15" ht="16.5" customHeight="1" x14ac:dyDescent="0.35">
      <c r="A30" s="1">
        <f ca="1">ROW()</f>
        <v>30</v>
      </c>
      <c r="D30" s="3" t="s">
        <v>10</v>
      </c>
      <c r="E30" s="3" t="s">
        <v>10</v>
      </c>
      <c r="F30" s="3" t="s">
        <v>44</v>
      </c>
      <c r="G30" s="2" t="s">
        <v>42</v>
      </c>
      <c r="L30" s="3" t="s">
        <v>10</v>
      </c>
      <c r="M30" s="3" t="s">
        <v>10</v>
      </c>
      <c r="N30" s="3" t="s">
        <v>44</v>
      </c>
      <c r="O30" s="2" t="s">
        <v>42</v>
      </c>
    </row>
    <row r="31" spans="1:15" ht="16.5" customHeight="1" x14ac:dyDescent="0.35">
      <c r="A31" s="1">
        <f ca="1">ROW()</f>
        <v>31</v>
      </c>
      <c r="D31" s="3" t="s">
        <v>21</v>
      </c>
      <c r="E31" s="3"/>
      <c r="F31" s="3"/>
      <c r="G31" s="2" t="s">
        <v>42</v>
      </c>
      <c r="L31" s="3" t="s">
        <v>21</v>
      </c>
      <c r="M31" s="3"/>
      <c r="N31" s="3"/>
      <c r="O31" s="2" t="s">
        <v>42</v>
      </c>
    </row>
    <row r="32" spans="1:15" ht="16.5" customHeight="1" x14ac:dyDescent="0.35">
      <c r="A32" s="1">
        <f ca="1">ROW()</f>
        <v>32</v>
      </c>
      <c r="D32" s="3"/>
      <c r="E32" s="3" t="s">
        <v>35</v>
      </c>
      <c r="F32" s="2" t="s">
        <v>34</v>
      </c>
      <c r="G32" s="2" t="s">
        <v>42</v>
      </c>
      <c r="L32" s="3"/>
      <c r="M32" s="3" t="s">
        <v>35</v>
      </c>
      <c r="N32" s="2" t="s">
        <v>34</v>
      </c>
      <c r="O32" s="2" t="s">
        <v>42</v>
      </c>
    </row>
    <row r="33" spans="1:15" ht="16.5" customHeight="1" x14ac:dyDescent="0.35">
      <c r="A33" s="1">
        <f ca="1">ROW()</f>
        <v>33</v>
      </c>
      <c r="D33" s="3"/>
      <c r="E33" s="3" t="s">
        <v>20</v>
      </c>
      <c r="F33" s="3" t="s">
        <v>36</v>
      </c>
      <c r="G33" s="2" t="s">
        <v>42</v>
      </c>
      <c r="L33" s="3"/>
      <c r="M33" s="3" t="s">
        <v>20</v>
      </c>
      <c r="N33" s="3" t="s">
        <v>36</v>
      </c>
      <c r="O33" s="2" t="s">
        <v>42</v>
      </c>
    </row>
    <row r="34" spans="1:15" ht="16.5" customHeight="1" x14ac:dyDescent="0.35">
      <c r="A34" s="1">
        <f ca="1">ROW()</f>
        <v>34</v>
      </c>
      <c r="D34" s="3" t="s">
        <v>10</v>
      </c>
      <c r="E34" s="3" t="s">
        <v>10</v>
      </c>
      <c r="F34" s="3" t="s">
        <v>10</v>
      </c>
      <c r="G34" s="2" t="s">
        <v>42</v>
      </c>
      <c r="L34" s="3" t="s">
        <v>10</v>
      </c>
      <c r="M34" s="3" t="s">
        <v>10</v>
      </c>
      <c r="N34" s="3" t="s">
        <v>10</v>
      </c>
      <c r="O34" s="2" t="s">
        <v>42</v>
      </c>
    </row>
    <row r="35" spans="1:15" ht="16.5" customHeight="1" x14ac:dyDescent="0.35">
      <c r="A35" s="1">
        <f ca="1">ROW()</f>
        <v>35</v>
      </c>
      <c r="C35" s="2" t="s">
        <v>47</v>
      </c>
      <c r="D35" s="1" t="s">
        <v>5</v>
      </c>
      <c r="F35" s="5"/>
      <c r="G35" s="2" t="s">
        <v>42</v>
      </c>
      <c r="K35" s="2" t="s">
        <v>47</v>
      </c>
      <c r="L35" s="1" t="s">
        <v>5</v>
      </c>
      <c r="N35" s="5"/>
      <c r="O35" s="2" t="s">
        <v>42</v>
      </c>
    </row>
    <row r="36" spans="1:15" ht="16.5" customHeight="1" x14ac:dyDescent="0.35">
      <c r="A36" s="1">
        <f ca="1">ROW()</f>
        <v>36</v>
      </c>
      <c r="E36" s="2" t="s">
        <v>26</v>
      </c>
      <c r="F36" s="6">
        <v>2.1213203435596424</v>
      </c>
      <c r="G36" s="2" t="s">
        <v>42</v>
      </c>
      <c r="M36" s="2" t="s">
        <v>26</v>
      </c>
      <c r="N36" s="6">
        <v>2.1213203435596424</v>
      </c>
      <c r="O36" s="2" t="s">
        <v>42</v>
      </c>
    </row>
    <row r="37" spans="1:15" ht="16.5" customHeight="1" x14ac:dyDescent="0.35">
      <c r="A37" s="1">
        <f ca="1">ROW()</f>
        <v>37</v>
      </c>
      <c r="E37" s="2" t="s">
        <v>25</v>
      </c>
      <c r="F37" s="7">
        <v>0.70710678118654757</v>
      </c>
      <c r="G37" s="2" t="s">
        <v>42</v>
      </c>
      <c r="M37" s="2" t="s">
        <v>25</v>
      </c>
      <c r="N37" s="7">
        <v>0.70710678118654746</v>
      </c>
      <c r="O37" s="2" t="s">
        <v>42</v>
      </c>
    </row>
    <row r="38" spans="1:15" ht="16.5" customHeight="1" x14ac:dyDescent="0.35">
      <c r="A38" s="1">
        <f ca="1">ROW()</f>
        <v>38</v>
      </c>
      <c r="D38" s="3" t="s">
        <v>10</v>
      </c>
      <c r="E38" s="3" t="s">
        <v>10</v>
      </c>
      <c r="F38" s="3" t="s">
        <v>44</v>
      </c>
      <c r="G38" s="2" t="s">
        <v>42</v>
      </c>
      <c r="L38" s="3" t="s">
        <v>10</v>
      </c>
      <c r="M38" s="3" t="s">
        <v>10</v>
      </c>
      <c r="N38" s="3" t="s">
        <v>44</v>
      </c>
      <c r="O38" s="2" t="s">
        <v>42</v>
      </c>
    </row>
    <row r="39" spans="1:15" ht="16.5" customHeight="1" x14ac:dyDescent="0.35">
      <c r="A39" s="1">
        <f ca="1">ROW()</f>
        <v>39</v>
      </c>
      <c r="C39" s="2" t="s">
        <v>48</v>
      </c>
      <c r="D39" s="1" t="s">
        <v>6</v>
      </c>
      <c r="G39" s="2" t="s">
        <v>42</v>
      </c>
      <c r="K39" s="2" t="s">
        <v>48</v>
      </c>
      <c r="L39" s="1" t="s">
        <v>6</v>
      </c>
      <c r="O39" s="2" t="s">
        <v>42</v>
      </c>
    </row>
    <row r="40" spans="1:15" ht="16.5" customHeight="1" x14ac:dyDescent="0.35">
      <c r="A40" s="1">
        <f ca="1">ROW()</f>
        <v>40</v>
      </c>
      <c r="E40" s="2" t="s">
        <v>26</v>
      </c>
      <c r="F40" s="8">
        <f ca="1">F36^2+F37^2-5</f>
        <v>0</v>
      </c>
      <c r="G40" s="2" t="s">
        <v>42</v>
      </c>
      <c r="M40" s="2" t="s">
        <v>26</v>
      </c>
      <c r="N40" s="8">
        <f ca="1">N36^2+N37^2-5</f>
        <v>0</v>
      </c>
      <c r="O40" s="2" t="s">
        <v>42</v>
      </c>
    </row>
    <row r="41" spans="1:15" ht="16.5" customHeight="1" x14ac:dyDescent="0.35">
      <c r="A41" s="1">
        <f ca="1">ROW()</f>
        <v>41</v>
      </c>
      <c r="E41" s="2" t="s">
        <v>25</v>
      </c>
      <c r="F41" s="8">
        <f ca="1">1/9*F36^2+F37^2-1</f>
        <v>0</v>
      </c>
      <c r="G41" s="2" t="s">
        <v>42</v>
      </c>
      <c r="M41" s="2" t="s">
        <v>25</v>
      </c>
      <c r="N41" s="8">
        <f ca="1">1/9*N36^2+N37^2-1</f>
        <v>0</v>
      </c>
      <c r="O41" s="2" t="s">
        <v>42</v>
      </c>
    </row>
    <row r="42" spans="1:15" ht="16.5" customHeight="1" x14ac:dyDescent="0.35">
      <c r="A42" s="1">
        <f ca="1">ROW()</f>
        <v>42</v>
      </c>
      <c r="D42" s="3"/>
      <c r="E42" s="3" t="s">
        <v>10</v>
      </c>
      <c r="F42" s="3" t="s">
        <v>44</v>
      </c>
      <c r="G42" s="2" t="s">
        <v>42</v>
      </c>
      <c r="L42" s="3"/>
      <c r="M42" s="3" t="s">
        <v>10</v>
      </c>
      <c r="N42" s="3" t="s">
        <v>44</v>
      </c>
      <c r="O42" s="2" t="s">
        <v>42</v>
      </c>
    </row>
    <row r="43" spans="1:15" ht="16.5" customHeight="1" x14ac:dyDescent="0.35">
      <c r="A43" s="1">
        <f ca="1">ROW()</f>
        <v>43</v>
      </c>
      <c r="E43" s="3" t="s">
        <v>11</v>
      </c>
      <c r="F43" s="9">
        <f ca="1">SQRT(SUMSQ(F40:F42))</f>
        <v>0</v>
      </c>
      <c r="G43" s="2" t="s">
        <v>42</v>
      </c>
      <c r="M43" s="3" t="s">
        <v>11</v>
      </c>
      <c r="N43" s="9">
        <f ca="1">SQRT(SUMSQ(N40:N42))</f>
        <v>0</v>
      </c>
      <c r="O43" s="2" t="s">
        <v>42</v>
      </c>
    </row>
    <row r="44" spans="1:15" ht="16.5" customHeight="1" x14ac:dyDescent="0.35">
      <c r="A44" s="1">
        <f ca="1">ROW()</f>
        <v>44</v>
      </c>
      <c r="D44" s="3" t="s">
        <v>10</v>
      </c>
      <c r="E44" s="3" t="s">
        <v>10</v>
      </c>
      <c r="F44" s="3" t="s">
        <v>10</v>
      </c>
      <c r="G44" s="2" t="s">
        <v>42</v>
      </c>
      <c r="L44" s="3" t="s">
        <v>10</v>
      </c>
      <c r="M44" s="3" t="s">
        <v>10</v>
      </c>
      <c r="N44" s="3" t="s">
        <v>10</v>
      </c>
      <c r="O44" s="2" t="s">
        <v>42</v>
      </c>
    </row>
    <row r="45" spans="1:15" ht="16.5" customHeight="1" x14ac:dyDescent="0.35">
      <c r="A45" s="1">
        <f ca="1">ROW()</f>
        <v>45</v>
      </c>
      <c r="D45" s="1" t="s">
        <v>9</v>
      </c>
      <c r="G45" s="2" t="s">
        <v>42</v>
      </c>
      <c r="L45" s="1" t="s">
        <v>9</v>
      </c>
      <c r="O45" s="2" t="s">
        <v>42</v>
      </c>
    </row>
    <row r="46" spans="1:15" ht="16.5" customHeight="1" x14ac:dyDescent="0.35">
      <c r="A46" s="1">
        <f ca="1">ROW()</f>
        <v>46</v>
      </c>
      <c r="E46" s="2" t="s">
        <v>26</v>
      </c>
      <c r="F46" s="6">
        <v>0</v>
      </c>
      <c r="G46" s="2" t="s">
        <v>42</v>
      </c>
      <c r="M46" s="2" t="s">
        <v>26</v>
      </c>
      <c r="N46" s="6">
        <v>0</v>
      </c>
      <c r="O46" s="2" t="s">
        <v>42</v>
      </c>
    </row>
    <row r="47" spans="1:15" ht="16.5" customHeight="1" x14ac:dyDescent="0.35">
      <c r="A47" s="1">
        <f ca="1">ROW()</f>
        <v>47</v>
      </c>
      <c r="E47" s="2" t="s">
        <v>25</v>
      </c>
      <c r="F47" s="6">
        <v>0</v>
      </c>
      <c r="G47" s="2" t="s">
        <v>42</v>
      </c>
      <c r="M47" s="2" t="s">
        <v>25</v>
      </c>
      <c r="N47" s="6">
        <v>0</v>
      </c>
      <c r="O47" s="2" t="s">
        <v>42</v>
      </c>
    </row>
    <row r="48" spans="1:15" ht="16.5" customHeight="1" x14ac:dyDescent="0.35">
      <c r="A48" s="1">
        <f ca="1">ROW()</f>
        <v>48</v>
      </c>
      <c r="D48" s="3" t="s">
        <v>10</v>
      </c>
      <c r="E48" s="3" t="s">
        <v>10</v>
      </c>
      <c r="F48" s="3" t="s">
        <v>44</v>
      </c>
      <c r="G48" s="2" t="s">
        <v>42</v>
      </c>
      <c r="L48" s="3" t="s">
        <v>10</v>
      </c>
      <c r="M48" s="3" t="s">
        <v>10</v>
      </c>
      <c r="N48" s="3" t="s">
        <v>44</v>
      </c>
      <c r="O48" s="2" t="s">
        <v>42</v>
      </c>
    </row>
    <row r="49" spans="1:15" ht="16.5" customHeight="1" x14ac:dyDescent="0.35">
      <c r="A49" s="1">
        <f ca="1">ROW()</f>
        <v>49</v>
      </c>
      <c r="D49" s="2" t="s">
        <v>40</v>
      </c>
      <c r="G49" s="2" t="s">
        <v>42</v>
      </c>
      <c r="L49" s="2" t="s">
        <v>40</v>
      </c>
      <c r="O49" s="2" t="s">
        <v>42</v>
      </c>
    </row>
    <row r="50" spans="1:15" ht="16.5" customHeight="1" x14ac:dyDescent="0.35">
      <c r="A50" s="1">
        <f ca="1">ROW()</f>
        <v>50</v>
      </c>
      <c r="E50" s="2" t="s">
        <v>26</v>
      </c>
      <c r="F50" s="6">
        <v>2.1213203435596424</v>
      </c>
      <c r="G50" s="2" t="s">
        <v>42</v>
      </c>
      <c r="M50" s="2" t="s">
        <v>26</v>
      </c>
      <c r="N50" s="6">
        <v>2.1213203435596424</v>
      </c>
      <c r="O50" s="2" t="s">
        <v>42</v>
      </c>
    </row>
    <row r="51" spans="1:15" ht="16.5" customHeight="1" x14ac:dyDescent="0.35">
      <c r="A51" s="1">
        <f ca="1">ROW()</f>
        <v>51</v>
      </c>
      <c r="E51" s="2" t="s">
        <v>25</v>
      </c>
      <c r="F51" s="6">
        <v>0.70710678118654757</v>
      </c>
      <c r="G51" s="2" t="s">
        <v>42</v>
      </c>
      <c r="M51" s="2" t="s">
        <v>25</v>
      </c>
      <c r="N51" s="6">
        <v>0.70710678118654746</v>
      </c>
      <c r="O51" s="2" t="s">
        <v>42</v>
      </c>
    </row>
    <row r="52" spans="1:15" ht="16.5" customHeight="1" x14ac:dyDescent="0.35">
      <c r="A52" s="1">
        <f ca="1">ROW()</f>
        <v>52</v>
      </c>
      <c r="D52" s="3" t="s">
        <v>10</v>
      </c>
      <c r="E52" s="3" t="s">
        <v>10</v>
      </c>
      <c r="F52" s="3" t="s">
        <v>44</v>
      </c>
      <c r="G52" s="2" t="s">
        <v>42</v>
      </c>
      <c r="L52" s="3" t="s">
        <v>10</v>
      </c>
      <c r="M52" s="3" t="s">
        <v>10</v>
      </c>
      <c r="N52" s="3" t="s">
        <v>44</v>
      </c>
      <c r="O52" s="2" t="s">
        <v>42</v>
      </c>
    </row>
    <row r="53" spans="1:15" ht="16.5" customHeight="1" x14ac:dyDescent="0.35">
      <c r="A53" s="1">
        <f ca="1">ROW()</f>
        <v>53</v>
      </c>
      <c r="D53" s="2" t="s">
        <v>41</v>
      </c>
      <c r="G53" s="2" t="s">
        <v>42</v>
      </c>
      <c r="L53" s="2" t="s">
        <v>41</v>
      </c>
      <c r="O53" s="2" t="s">
        <v>42</v>
      </c>
    </row>
    <row r="54" spans="1:15" ht="16.5" customHeight="1" x14ac:dyDescent="0.35">
      <c r="A54" s="1">
        <f ca="1">ROW()</f>
        <v>54</v>
      </c>
      <c r="E54" s="2" t="s">
        <v>26</v>
      </c>
      <c r="F54" s="10">
        <v>0</v>
      </c>
      <c r="G54" s="2" t="s">
        <v>42</v>
      </c>
      <c r="M54" s="2" t="s">
        <v>26</v>
      </c>
      <c r="N54" s="10">
        <v>0</v>
      </c>
      <c r="O54" s="2" t="s">
        <v>42</v>
      </c>
    </row>
    <row r="55" spans="1:15" ht="16.5" customHeight="1" x14ac:dyDescent="0.35">
      <c r="A55" s="1">
        <f ca="1">ROW()</f>
        <v>55</v>
      </c>
      <c r="E55" s="2" t="s">
        <v>25</v>
      </c>
      <c r="F55" s="10">
        <v>0</v>
      </c>
      <c r="G55" s="2" t="s">
        <v>42</v>
      </c>
      <c r="M55" s="2" t="s">
        <v>25</v>
      </c>
      <c r="N55" s="10">
        <v>0</v>
      </c>
      <c r="O55" s="2" t="s">
        <v>42</v>
      </c>
    </row>
    <row r="56" spans="1:15" ht="16.5" customHeight="1" x14ac:dyDescent="0.35">
      <c r="A56" s="1">
        <f ca="1">ROW()</f>
        <v>56</v>
      </c>
      <c r="D56" s="3" t="s">
        <v>10</v>
      </c>
      <c r="E56" s="3" t="s">
        <v>10</v>
      </c>
      <c r="F56" s="3" t="s">
        <v>44</v>
      </c>
      <c r="G56" s="2" t="s">
        <v>42</v>
      </c>
      <c r="L56" s="3" t="s">
        <v>10</v>
      </c>
      <c r="M56" s="3" t="s">
        <v>10</v>
      </c>
      <c r="N56" s="3" t="s">
        <v>44</v>
      </c>
      <c r="O56" s="2" t="s">
        <v>42</v>
      </c>
    </row>
    <row r="57" spans="1:15" ht="16.5" customHeight="1" x14ac:dyDescent="0.35">
      <c r="A57" s="1">
        <f ca="1">ROW()</f>
        <v>57</v>
      </c>
      <c r="D57" s="2" t="s">
        <v>18</v>
      </c>
      <c r="G57" s="2" t="s">
        <v>42</v>
      </c>
      <c r="L57" s="2" t="s">
        <v>18</v>
      </c>
      <c r="O57" s="2" t="s">
        <v>42</v>
      </c>
    </row>
    <row r="58" spans="1:15" ht="16.5" customHeight="1" x14ac:dyDescent="0.35">
      <c r="A58" s="1">
        <f ca="1">ROW()</f>
        <v>58</v>
      </c>
      <c r="E58" s="2" t="s">
        <v>26</v>
      </c>
      <c r="F58" s="10">
        <v>0</v>
      </c>
      <c r="G58" s="2" t="s">
        <v>42</v>
      </c>
      <c r="M58" s="2" t="s">
        <v>26</v>
      </c>
      <c r="N58" s="10">
        <v>0</v>
      </c>
      <c r="O58" s="2" t="s">
        <v>42</v>
      </c>
    </row>
    <row r="59" spans="1:15" ht="16.5" customHeight="1" x14ac:dyDescent="0.35">
      <c r="A59" s="1">
        <f ca="1">ROW()</f>
        <v>59</v>
      </c>
      <c r="E59" s="2" t="s">
        <v>25</v>
      </c>
      <c r="F59" s="10">
        <v>0</v>
      </c>
      <c r="G59" s="2" t="s">
        <v>42</v>
      </c>
      <c r="M59" s="2" t="s">
        <v>25</v>
      </c>
      <c r="N59" s="10">
        <v>0</v>
      </c>
      <c r="O59" s="2" t="s">
        <v>42</v>
      </c>
    </row>
    <row r="60" spans="1:15" ht="16.5" customHeight="1" x14ac:dyDescent="0.35">
      <c r="A60" s="1">
        <f ca="1">ROW()</f>
        <v>60</v>
      </c>
      <c r="D60" s="3" t="s">
        <v>10</v>
      </c>
      <c r="E60" s="3" t="s">
        <v>10</v>
      </c>
      <c r="F60" s="3" t="s">
        <v>44</v>
      </c>
      <c r="G60" s="2" t="s">
        <v>42</v>
      </c>
      <c r="L60" s="3" t="s">
        <v>10</v>
      </c>
      <c r="M60" s="3" t="s">
        <v>10</v>
      </c>
      <c r="N60" s="3" t="s">
        <v>44</v>
      </c>
      <c r="O60" s="2" t="s">
        <v>42</v>
      </c>
    </row>
    <row r="61" spans="1:15" ht="16.5" customHeight="1" x14ac:dyDescent="0.35">
      <c r="A61" s="1">
        <f ca="1">ROW()</f>
        <v>61</v>
      </c>
      <c r="D61" s="2" t="s">
        <v>22</v>
      </c>
      <c r="G61" s="2" t="s">
        <v>42</v>
      </c>
      <c r="L61" s="2" t="s">
        <v>22</v>
      </c>
      <c r="O61" s="2" t="s">
        <v>42</v>
      </c>
    </row>
    <row r="62" spans="1:15" ht="16.5" customHeight="1" x14ac:dyDescent="0.35">
      <c r="A62" s="1">
        <f ca="1">ROW()</f>
        <v>62</v>
      </c>
      <c r="E62" s="2" t="s">
        <v>13</v>
      </c>
      <c r="F62" s="11">
        <v>4.2427406871237139</v>
      </c>
      <c r="G62" s="2" t="s">
        <v>42</v>
      </c>
      <c r="M62" s="2" t="s">
        <v>13</v>
      </c>
      <c r="N62" s="11">
        <v>4.2427406871237139</v>
      </c>
      <c r="O62" s="2" t="s">
        <v>42</v>
      </c>
    </row>
    <row r="63" spans="1:15" ht="16.5" customHeight="1" x14ac:dyDescent="0.35">
      <c r="A63" s="1">
        <f ca="1">ROW()</f>
        <v>63</v>
      </c>
      <c r="E63" s="2" t="s">
        <v>12</v>
      </c>
      <c r="F63" s="11">
        <v>1.4143135623623238</v>
      </c>
      <c r="G63" s="2" t="s">
        <v>42</v>
      </c>
      <c r="M63" s="2" t="s">
        <v>12</v>
      </c>
      <c r="N63" s="11">
        <v>1.4143135623623238</v>
      </c>
      <c r="O63" s="2" t="s">
        <v>42</v>
      </c>
    </row>
    <row r="64" spans="1:15" ht="16.5" customHeight="1" x14ac:dyDescent="0.35">
      <c r="A64" s="1">
        <f ca="1">ROW()</f>
        <v>64</v>
      </c>
      <c r="E64" s="2" t="s">
        <v>14</v>
      </c>
      <c r="F64" s="11">
        <v>0.47141563190411517</v>
      </c>
      <c r="G64" s="2" t="s">
        <v>42</v>
      </c>
      <c r="M64" s="2" t="s">
        <v>14</v>
      </c>
      <c r="N64" s="11">
        <v>0.47141563189967428</v>
      </c>
      <c r="O64" s="2" t="s">
        <v>42</v>
      </c>
    </row>
    <row r="65" spans="1:15" ht="16.5" customHeight="1" x14ac:dyDescent="0.35">
      <c r="A65" s="1">
        <f ca="1">ROW()</f>
        <v>65</v>
      </c>
      <c r="E65" s="2" t="s">
        <v>15</v>
      </c>
      <c r="F65" s="11">
        <v>1.4143135623712055</v>
      </c>
      <c r="G65" s="2" t="s">
        <v>42</v>
      </c>
      <c r="M65" s="2" t="s">
        <v>15</v>
      </c>
      <c r="N65" s="11">
        <v>1.4143135623712055</v>
      </c>
      <c r="O65" s="2" t="s">
        <v>42</v>
      </c>
    </row>
    <row r="66" spans="1:15" ht="16.5" customHeight="1" x14ac:dyDescent="0.35">
      <c r="A66" s="1">
        <f ca="1">ROW()</f>
        <v>66</v>
      </c>
      <c r="D66" s="3" t="s">
        <v>10</v>
      </c>
      <c r="E66" s="3" t="s">
        <v>10</v>
      </c>
      <c r="F66" s="3" t="s">
        <v>44</v>
      </c>
      <c r="G66" s="2" t="s">
        <v>42</v>
      </c>
      <c r="L66" s="3" t="s">
        <v>10</v>
      </c>
      <c r="M66" s="3" t="s">
        <v>10</v>
      </c>
      <c r="N66" s="3" t="s">
        <v>44</v>
      </c>
      <c r="O66" s="2" t="s">
        <v>42</v>
      </c>
    </row>
    <row r="70" spans="1:15" ht="16.5" customHeight="1" x14ac:dyDescent="0.35">
      <c r="I70" s="11"/>
    </row>
    <row r="71" spans="1:15" ht="16.5" customHeight="1" x14ac:dyDescent="0.35">
      <c r="I71" s="11"/>
    </row>
    <row r="72" spans="1:15" ht="16.5" customHeight="1" x14ac:dyDescent="0.35">
      <c r="I72" s="11"/>
    </row>
  </sheetData>
  <phoneticPr fontId="1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Roman,標準"&amp;12&amp;A</oddHeader>
    <oddFooter>&amp;C&amp;"Times New Roman,標準"&amp;12ページ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zeta-plusplus</dc:creator>
  <dc:description/>
  <cp:lastModifiedBy>grabacr</cp:lastModifiedBy>
  <cp:revision>4</cp:revision>
  <dcterms:created xsi:type="dcterms:W3CDTF">2021-07-17T13:54:00Z</dcterms:created>
  <dcterms:modified xsi:type="dcterms:W3CDTF">2021-08-12T00:14:39Z</dcterms:modified>
  <dc:language>ja-JP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1041-11.2.0.10223</vt:lpwstr>
  </property>
</Properties>
</file>