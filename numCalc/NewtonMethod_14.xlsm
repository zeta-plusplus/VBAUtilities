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01-sharedspace\temp-shared\"/>
    </mc:Choice>
  </mc:AlternateContent>
  <xr:revisionPtr revIDLastSave="0" documentId="13_ncr:1_{DB104A56-4585-40C1-A916-F7E0E5765066}" xr6:coauthVersionLast="47" xr6:coauthVersionMax="47" xr10:uidLastSave="{00000000-0000-0000-0000-000000000000}"/>
  <bookViews>
    <workbookView xWindow="-103" yWindow="-103" windowWidth="22149" windowHeight="13474" activeTab="1" xr2:uid="{00000000-000D-0000-FFFF-FFFF00000000}"/>
  </bookViews>
  <sheets>
    <sheet name="Sheet1" sheetId="2" r:id="rId1"/>
    <sheet name="calc" sheetId="1" r:id="rId2"/>
  </sheets>
  <definedNames>
    <definedName name="_xlnm._FilterDatabase" localSheetId="1" hidden="1">calc!$I$1:$I$83</definedName>
    <definedName name="solver_adj" localSheetId="1" hidden="1">calc!$K$42:$K$44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calc!$K$51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 calcMode="manual" iterate="1" iterateCount="1000" iterateDelta="1.0000000000000001E-5" calcCompleted="0" calcOnSave="0"/>
</workbook>
</file>

<file path=xl/calcChain.xml><?xml version="1.0" encoding="utf-8"?>
<calcChain xmlns="http://schemas.openxmlformats.org/spreadsheetml/2006/main">
  <c r="A7" i="1" l="1"/>
  <c r="A8" i="1"/>
  <c r="A9" i="1"/>
  <c r="A3" i="1"/>
  <c r="A4" i="1"/>
  <c r="A5" i="1"/>
  <c r="A6" i="1"/>
  <c r="K110" i="1"/>
  <c r="K108" i="1"/>
  <c r="K105" i="1"/>
  <c r="K104" i="1"/>
  <c r="K101" i="1"/>
  <c r="K98" i="1"/>
  <c r="K97" i="1"/>
  <c r="K94" i="1"/>
  <c r="K91" i="1"/>
  <c r="K92" i="1" s="1"/>
  <c r="H1" i="1"/>
  <c r="I1" i="1"/>
  <c r="J1" i="1"/>
  <c r="K1" i="1"/>
  <c r="K16" i="1" s="1"/>
  <c r="L1" i="1"/>
  <c r="G1" i="1"/>
  <c r="A37" i="1"/>
  <c r="A38" i="1"/>
  <c r="A39" i="1"/>
  <c r="A10" i="1"/>
  <c r="A11" i="1"/>
  <c r="A12" i="1"/>
  <c r="A13" i="1"/>
  <c r="A23" i="1"/>
  <c r="A24" i="1"/>
  <c r="A25" i="1"/>
  <c r="A26" i="1"/>
  <c r="A27" i="1"/>
  <c r="A35" i="1"/>
  <c r="C1" i="1"/>
  <c r="D1" i="1"/>
  <c r="A36" i="1"/>
  <c r="A14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34" i="1"/>
  <c r="A33" i="1"/>
  <c r="A32" i="1"/>
  <c r="A31" i="1"/>
  <c r="A30" i="1"/>
  <c r="A29" i="1"/>
  <c r="A28" i="1"/>
  <c r="A48" i="1"/>
  <c r="A47" i="1"/>
  <c r="A46" i="1"/>
  <c r="F45" i="1"/>
  <c r="A45" i="1"/>
  <c r="F44" i="1"/>
  <c r="A44" i="1"/>
  <c r="A43" i="1"/>
  <c r="A42" i="1"/>
  <c r="A41" i="1"/>
  <c r="A40" i="1"/>
  <c r="A22" i="1"/>
  <c r="A21" i="1"/>
  <c r="A20" i="1"/>
  <c r="A19" i="1"/>
  <c r="A18" i="1"/>
  <c r="A17" i="1"/>
  <c r="A16" i="1"/>
  <c r="A15" i="1"/>
  <c r="A2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F1" i="1"/>
  <c r="F13" i="1" s="1"/>
  <c r="E1" i="1"/>
  <c r="B1" i="1"/>
  <c r="A1" i="1"/>
  <c r="K106" i="1" l="1"/>
  <c r="K112" i="1"/>
  <c r="K99" i="1"/>
  <c r="F17" i="1"/>
  <c r="F18" i="1"/>
  <c r="F20" i="1"/>
  <c r="F19" i="1"/>
  <c r="F21" i="1"/>
  <c r="F14" i="1"/>
  <c r="F15" i="1"/>
  <c r="F16" i="1"/>
  <c r="K18" i="1"/>
  <c r="K11" i="1"/>
  <c r="K19" i="1"/>
  <c r="K17" i="1"/>
  <c r="K12" i="1"/>
  <c r="K20" i="1"/>
  <c r="K13" i="1"/>
  <c r="K21" i="1"/>
  <c r="K14" i="1"/>
  <c r="K15" i="1"/>
  <c r="F11" i="1"/>
  <c r="F12" i="1"/>
  <c r="F47" i="1"/>
  <c r="K116" i="1" l="1"/>
  <c r="K48" i="1" s="1"/>
  <c r="K117" i="1"/>
  <c r="K49" i="1" s="1"/>
  <c r="K115" i="1"/>
  <c r="K47" i="1" s="1"/>
  <c r="K51" i="1" l="1"/>
</calcChain>
</file>

<file path=xl/sharedStrings.xml><?xml version="1.0" encoding="utf-8"?>
<sst xmlns="http://schemas.openxmlformats.org/spreadsheetml/2006/main" count="299" uniqueCount="98">
  <si>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</si>
  <si>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</si>
  <si>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</si>
  <si>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</si>
  <si>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</si>
  <si>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</si>
  <si>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</si>
  <si>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</si>
  <si>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</si>
  <si>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</si>
  <si>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</si>
  <si>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</si>
  <si>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</si>
  <si>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</si>
  <si>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</si>
  <si>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</si>
  <si>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</si>
  <si>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</si>
  <si>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</si>
  <si>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</si>
  <si>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</si>
  <si>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</si>
  <si>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</si>
  <si>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</si>
  <si>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</si>
  <si>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</si>
  <si>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</si>
  <si>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</si>
  <si>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</si>
  <si>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</si>
  <si>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</si>
  <si>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</si>
  <si>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</si>
  <si>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---↑必要に応じて行を足す/減らす----------</t>
    <rPh sb="4" eb="6">
      <t>ヒツヨウ</t>
    </rPh>
    <rPh sb="7" eb="8">
      <t>オウ</t>
    </rPh>
    <rPh sb="10" eb="11">
      <t>ギョウ</t>
    </rPh>
    <rPh sb="12" eb="13">
      <t>タ</t>
    </rPh>
    <rPh sb="15" eb="16">
      <t>ヘ</t>
    </rPh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</si>
  <si>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</si>
  <si>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</si>
  <si>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</si>
  <si>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</si>
  <si>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</si>
  <si>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</si>
  <si>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</si>
  <si>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</si>
  <si>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</si>
  <si>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[3]</t>
    <phoneticPr fontId="1"/>
  </si>
  <si>
    <t>|</t>
    <phoneticPr fontId="1"/>
  </si>
  <si>
    <t>[1,3]</t>
    <phoneticPr fontId="1"/>
  </si>
  <si>
    <t>[2,3]</t>
    <phoneticPr fontId="1"/>
  </si>
  <si>
    <t>[3,1]</t>
    <phoneticPr fontId="1"/>
  </si>
  <si>
    <t>[3,2]</t>
    <phoneticPr fontId="1"/>
  </si>
  <si>
    <t>[3,3]</t>
    <phoneticPr fontId="1"/>
  </si>
  <si>
    <r>
      <t>Q</t>
    </r>
    <r>
      <rPr>
        <sz val="10"/>
        <rFont val="游ゴシック"/>
        <family val="3"/>
        <charset val="128"/>
      </rPr>
      <t>1</t>
    </r>
    <phoneticPr fontId="1"/>
  </si>
  <si>
    <r>
      <t>A</t>
    </r>
    <r>
      <rPr>
        <sz val="10"/>
        <rFont val="游ゴシック"/>
        <family val="3"/>
        <charset val="128"/>
      </rPr>
      <t>1</t>
    </r>
    <phoneticPr fontId="1"/>
  </si>
  <si>
    <r>
      <t>h</t>
    </r>
    <r>
      <rPr>
        <sz val="10"/>
        <rFont val="游ゴシック"/>
        <family val="3"/>
        <charset val="128"/>
      </rPr>
      <t>1</t>
    </r>
    <phoneticPr fontId="1"/>
  </si>
  <si>
    <r>
      <t>A</t>
    </r>
    <r>
      <rPr>
        <sz val="10"/>
        <rFont val="游ゴシック"/>
        <family val="3"/>
        <charset val="128"/>
      </rPr>
      <t>2</t>
    </r>
    <phoneticPr fontId="1"/>
  </si>
  <si>
    <t>t2</t>
    <phoneticPr fontId="1"/>
  </si>
  <si>
    <t>ramda2</t>
    <phoneticPr fontId="1"/>
  </si>
  <si>
    <t>TH1</t>
    <phoneticPr fontId="1"/>
  </si>
  <si>
    <t>TC1</t>
    <phoneticPr fontId="1"/>
  </si>
  <si>
    <t>TH2</t>
    <phoneticPr fontId="1"/>
  </si>
  <si>
    <t>TC2</t>
    <phoneticPr fontId="1"/>
  </si>
  <si>
    <t>Q2</t>
    <phoneticPr fontId="1"/>
  </si>
  <si>
    <t>A3</t>
    <phoneticPr fontId="1"/>
  </si>
  <si>
    <t>t3</t>
    <phoneticPr fontId="1"/>
  </si>
  <si>
    <t>ramda3</t>
    <phoneticPr fontId="1"/>
  </si>
  <si>
    <t>TH3</t>
    <phoneticPr fontId="1"/>
  </si>
  <si>
    <t>TC3</t>
    <phoneticPr fontId="1"/>
  </si>
  <si>
    <t>Q3</t>
    <phoneticPr fontId="1"/>
  </si>
  <si>
    <t>A4</t>
    <phoneticPr fontId="1"/>
  </si>
  <si>
    <t>h4</t>
    <phoneticPr fontId="1"/>
  </si>
  <si>
    <t>TH4</t>
    <phoneticPr fontId="1"/>
  </si>
  <si>
    <t>TC4</t>
    <phoneticPr fontId="1"/>
  </si>
  <si>
    <t>Q4</t>
    <phoneticPr fontId="1"/>
  </si>
  <si>
    <t>熱伝導</t>
    <rPh sb="0" eb="3">
      <t>ネツデンドウ</t>
    </rPh>
    <phoneticPr fontId="1"/>
  </si>
  <si>
    <t>熱伝達・高温側温度インプット</t>
    <rPh sb="0" eb="3">
      <t>ネツデンタツ</t>
    </rPh>
    <rPh sb="4" eb="7">
      <t>コウオンガワ</t>
    </rPh>
    <rPh sb="7" eb="9">
      <t>オンド</t>
    </rPh>
    <phoneticPr fontId="1"/>
  </si>
  <si>
    <t>熱伝達・低温側温度インプット</t>
    <rPh sb="0" eb="3">
      <t>ネツデンタツ</t>
    </rPh>
    <rPh sb="4" eb="6">
      <t>テイオン</t>
    </rPh>
    <phoneticPr fontId="1"/>
  </si>
  <si>
    <t>Q1-Q2=0</t>
    <phoneticPr fontId="1"/>
  </si>
  <si>
    <t>Q2-Q3=0</t>
    <phoneticPr fontId="1"/>
  </si>
  <si>
    <t>Q3-Q4=0</t>
    <phoneticPr fontId="1"/>
  </si>
  <si>
    <t>熱収支：解くべき方程式</t>
    <rPh sb="0" eb="3">
      <t>ネツシュウシ</t>
    </rPh>
    <rPh sb="4" eb="5">
      <t>ト</t>
    </rPh>
    <rPh sb="8" eb="11">
      <t>ホウテイシキ</t>
    </rPh>
    <phoneticPr fontId="1"/>
  </si>
  <si>
    <t>flags：ソルバの動作ステータスなど</t>
    <rPh sb="10" eb="12">
      <t>ドウサ</t>
    </rPh>
    <phoneticPr fontId="1"/>
  </si>
  <si>
    <t>x_n：独立変数：これらを物理モデルに渡す。</t>
    <rPh sb="4" eb="6">
      <t>ドクリツ</t>
    </rPh>
    <rPh sb="6" eb="8">
      <t>ヘンスウ</t>
    </rPh>
    <rPh sb="13" eb="15">
      <t>ブツリ</t>
    </rPh>
    <rPh sb="19" eb="20">
      <t>ワタ</t>
    </rPh>
    <phoneticPr fontId="1"/>
  </si>
  <si>
    <t>ranges：ソルバ変数のセル範囲（手動設定不要）</t>
    <rPh sb="10" eb="12">
      <t>ヘンスウ</t>
    </rPh>
    <rPh sb="15" eb="17">
      <t>ハンイ</t>
    </rPh>
    <rPh sb="18" eb="20">
      <t>シュドウ</t>
    </rPh>
    <rPh sb="20" eb="22">
      <t>セッテイ</t>
    </rPh>
    <rPh sb="22" eb="24">
      <t>フヨウ</t>
    </rPh>
    <phoneticPr fontId="1"/>
  </si>
  <si>
    <t>dx：微小攪乱の大きさ</t>
    <rPh sb="3" eb="5">
      <t>ビショウ</t>
    </rPh>
    <rPh sb="5" eb="7">
      <t>カクラン</t>
    </rPh>
    <rPh sb="8" eb="9">
      <t>オオ</t>
    </rPh>
    <phoneticPr fontId="1"/>
  </si>
  <si>
    <t>Ulim_delta_x：独立変数変化幅の上限</t>
    <rPh sb="13" eb="15">
      <t>ドクリツ</t>
    </rPh>
    <rPh sb="15" eb="17">
      <t>ヘンスウ</t>
    </rPh>
    <rPh sb="17" eb="19">
      <t>ヘンカ</t>
    </rPh>
    <rPh sb="19" eb="20">
      <t>ハバ</t>
    </rPh>
    <rPh sb="21" eb="23">
      <t>ジョウゲン</t>
    </rPh>
    <phoneticPr fontId="1"/>
  </si>
  <si>
    <t>f_n：従属変数：物理モデルのから０にしたいものを引っ張ってくる。</t>
    <rPh sb="4" eb="6">
      <t>ジュウゾク</t>
    </rPh>
    <rPh sb="6" eb="8">
      <t>ヘンスウ</t>
    </rPh>
    <rPh sb="9" eb="11">
      <t>ブツリ</t>
    </rPh>
    <rPh sb="25" eb="26">
      <t>ヒ</t>
    </rPh>
    <rPh sb="27" eb="28">
      <t>パ</t>
    </rPh>
    <phoneticPr fontId="1"/>
  </si>
  <si>
    <t>delta_f：従属変数の変化幅（ソルバ出力）</t>
    <rPh sb="8" eb="10">
      <t>ジュウゾク</t>
    </rPh>
    <rPh sb="10" eb="12">
      <t>ヘンスウ</t>
    </rPh>
    <rPh sb="13" eb="16">
      <t>ヘンカハバ</t>
    </rPh>
    <rPh sb="20" eb="22">
      <t>シュツリョク</t>
    </rPh>
    <phoneticPr fontId="1"/>
  </si>
  <si>
    <t>f_prev：前回ステップの従属変数（ソルバ出力）</t>
    <rPh sb="7" eb="9">
      <t>ゼンカイ</t>
    </rPh>
    <rPh sb="14" eb="16">
      <t>ジュウゾク</t>
    </rPh>
    <rPh sb="16" eb="18">
      <t>ヘンスウ</t>
    </rPh>
    <rPh sb="22" eb="24">
      <t>シュツリョク</t>
    </rPh>
    <phoneticPr fontId="1"/>
  </si>
  <si>
    <t>x_prev：前回ステップの独立変数（ソルバ出力）</t>
    <rPh sb="7" eb="9">
      <t>ゼンカイ</t>
    </rPh>
    <rPh sb="14" eb="16">
      <t>ドクリツ</t>
    </rPh>
    <rPh sb="16" eb="18">
      <t>ヘンスウ</t>
    </rPh>
    <rPh sb="22" eb="24">
      <t>シュツリョク</t>
    </rPh>
    <phoneticPr fontId="1"/>
  </si>
  <si>
    <t>delta_x：独立変数変化幅（ソルバ出力）</t>
    <rPh sb="8" eb="10">
      <t>ドクリツ</t>
    </rPh>
    <rPh sb="10" eb="12">
      <t>ヘンスウ</t>
    </rPh>
    <rPh sb="12" eb="14">
      <t>ヘンカ</t>
    </rPh>
    <rPh sb="14" eb="15">
      <t>ハバ</t>
    </rPh>
    <rPh sb="19" eb="21">
      <t>シュツリョク</t>
    </rPh>
    <phoneticPr fontId="1"/>
  </si>
  <si>
    <t>Jacobian：ヤコビ行列（ソルバ出力）</t>
    <rPh sb="12" eb="14">
      <t>ギョウレツ</t>
    </rPh>
    <rPh sb="18" eb="20">
      <t>シュツリョク</t>
    </rPh>
    <phoneticPr fontId="1"/>
  </si>
  <si>
    <t>***** サンプル物理モデル *****</t>
    <rPh sb="10" eb="12">
      <t>ブツリ</t>
    </rPh>
    <phoneticPr fontId="1"/>
  </si>
  <si>
    <t>以下は自由に作って良い。</t>
    <rPh sb="0" eb="1">
      <t>イカ</t>
    </rPh>
    <rPh sb="2" eb="4">
      <t>ジユウ</t>
    </rPh>
    <rPh sb="5" eb="6">
      <t>ツク</t>
    </rPh>
    <rPh sb="8" eb="9">
      <t>イ</t>
    </rPh>
    <phoneticPr fontId="1"/>
  </si>
  <si>
    <t>手動input</t>
    <rPh sb="0" eb="2">
      <t>シュドウ</t>
    </rPh>
    <phoneticPr fontId="1"/>
  </si>
  <si>
    <t>ソルバと物理モデルの繋ぎ箇所</t>
    <rPh sb="4" eb="6">
      <t>ブツリ</t>
    </rPh>
    <rPh sb="10" eb="11">
      <t>ツナ</t>
    </rPh>
    <rPh sb="12" eb="14">
      <t>カショ</t>
    </rPh>
    <phoneticPr fontId="1"/>
  </si>
  <si>
    <t>色凡例</t>
    <rPh sb="0" eb="3">
      <t>イロハンレイ</t>
    </rPh>
    <phoneticPr fontId="1"/>
  </si>
  <si>
    <t>　</t>
    <phoneticPr fontId="1"/>
  </si>
  <si>
    <t>サンプル１：2元非線形方程式</t>
    <rPh sb="7" eb="8">
      <t>ゲン</t>
    </rPh>
    <rPh sb="8" eb="11">
      <t>ヒセンケイ</t>
    </rPh>
    <rPh sb="11" eb="14">
      <t>ホウテイシキ</t>
    </rPh>
    <phoneticPr fontId="1"/>
  </si>
  <si>
    <t>サンプル２：１D伝熱モデル</t>
    <rPh sb="8" eb="10">
      <t>デンネツ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</si>
</sst>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00"/>
    <numFmt numFmtId="177" formatCode="0.0.E+00"/>
    <numFmt numFmtId="178" formatCode="0.0E+00"/>
    <numFmt numFmtId="179" formatCode="0.000"/>
    <numFmt numFmtId="180" formatCode="0.000000"/>
    <numFmt numFmtId="181" formatCode="0.000_ "/>
    <numFmt numFmtId="182" formatCode="0.000E+00"/>
    <numFmt numFmtId="187" formatCode="0.00000"/>
    <numFmt numFmtId="188" formatCode="0.00.E+00"/>
  </numFmts>
  <fonts count="3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quotePrefix="1" applyFont="1"/>
    <xf numFmtId="177" fontId="2" fillId="0" borderId="0" xfId="0" quotePrefix="1" applyNumberFormat="1" applyFont="1"/>
    <xf numFmtId="178" fontId="0" fillId="0" borderId="0" xfId="0" applyNumberFormat="1"/>
    <xf numFmtId="176" fontId="0" fillId="0" borderId="0" xfId="0" applyNumberFormat="1"/>
    <xf numFmtId="176" fontId="0" fillId="0" borderId="0" xfId="0" applyNumberFormat="1" applyFont="1"/>
    <xf numFmtId="179" fontId="0" fillId="0" borderId="0" xfId="0" applyNumberFormat="1"/>
    <xf numFmtId="180" fontId="0" fillId="0" borderId="0" xfId="0" applyNumberFormat="1"/>
    <xf numFmtId="177" fontId="0" fillId="0" borderId="0" xfId="0" applyNumberFormat="1"/>
    <xf numFmtId="181" fontId="0" fillId="0" borderId="0" xfId="0" applyNumberFormat="1"/>
    <xf numFmtId="0" fontId="2" fillId="2" borderId="0" xfId="0" applyFont="1" applyFill="1"/>
    <xf numFmtId="0" fontId="2" fillId="2" borderId="0" xfId="0" quotePrefix="1" applyFont="1" applyFill="1"/>
    <xf numFmtId="0" fontId="0" fillId="2" borderId="0" xfId="0" applyFill="1"/>
    <xf numFmtId="176" fontId="0" fillId="2" borderId="0" xfId="0" applyNumberFormat="1" applyFill="1"/>
    <xf numFmtId="176" fontId="0" fillId="3" borderId="0" xfId="0" applyNumberFormat="1" applyFill="1"/>
    <xf numFmtId="182" fontId="0" fillId="3" borderId="0" xfId="0" applyNumberFormat="1" applyFill="1"/>
    <xf numFmtId="1" fontId="0" fillId="3" borderId="0" xfId="0" applyNumberFormat="1" applyFill="1"/>
    <xf numFmtId="1" fontId="0" fillId="3" borderId="0" xfId="0" applyNumberFormat="1" applyFont="1" applyFill="1"/>
    <xf numFmtId="187" fontId="0" fillId="0" borderId="0" xfId="0" applyNumberFormat="1"/>
    <xf numFmtId="188" fontId="0" fillId="0" borderId="0" xfId="0" applyNumberFormat="1"/>
    <xf numFmtId="0" fontId="2" fillId="3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A1"/>
  <sheetViews>
    <sheetView workbookViewId="0"/>
  </sheetViews>
  <sheetFormatPr defaultRowHeight="15.9" x14ac:dyDescent="0.5500000000000000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17"/>
  <sheetViews>
    <sheetView tabSelected="1" topLeftCell="A36" zoomScale="90" zoomScaleNormal="90" zoomScalePageLayoutView="60" workbookViewId="0">
      <pane xSplit="12951" ySplit="3497" topLeftCell="F33" activePane="bottomLeft"/>
      <selection activeCell="D46" sqref="D46"/>
      <selection pane="topRight" activeCell="F1" sqref="F1"/>
      <selection pane="bottomLeft" activeCell="M37" sqref="M37"/>
      <selection pane="bottomRight" activeCell="F8" sqref="F8"/>
    </sheetView>
  </sheetViews>
  <sheetFormatPr defaultColWidth="10.69140625" defaultRowHeight="16.5" customHeight="1" x14ac:dyDescent="0.55000000000000004"/>
  <cols>
    <col min="1" max="1" width="4.69140625" customWidth="1"/>
    <col min="2" max="2" width="3.53515625" customWidth="1"/>
    <col min="3" max="3" width="3.69140625" customWidth="1"/>
    <col min="4" max="4" width="5.69140625" customWidth="1"/>
    <col min="5" max="5" width="13.3046875" customWidth="1"/>
    <col min="6" max="6" width="14.84375" customWidth="1"/>
    <col min="7" max="7" width="4.84375" customWidth="1"/>
    <col min="8" max="8" width="5.84375" customWidth="1"/>
    <col min="9" max="9" width="5.69140625" customWidth="1"/>
    <col min="10" max="10" width="12.3828125" customWidth="1"/>
    <col min="11" max="11" width="13.3046875" customWidth="1"/>
    <col min="12" max="12" width="12.69140625" customWidth="1"/>
  </cols>
  <sheetData>
    <row r="1" spans="1:40" ht="16.5" customHeight="1" x14ac:dyDescent="0.55000000000000004">
      <c r="A1" t="str">
        <f ca="1">SUBSTITUTE(ADDRESS(1,COLUMN(),4),1,"")</f>
        <v>A</v>
      </c>
      <c r="B1" t="str">
        <f t="shared" ref="B1:AN1" ca="1" si="0">SUBSTITUTE(ADDRESS(1,COLUMN(),4),1,"")</f>
        <v>B</v>
      </c>
      <c r="C1" t="str">
        <f t="shared" ca="1" si="0"/>
        <v>C</v>
      </c>
      <c r="D1" t="str">
        <f t="shared" ca="1" si="0"/>
        <v>D</v>
      </c>
      <c r="E1" t="str">
        <f t="shared" ca="1" si="0"/>
        <v>E</v>
      </c>
      <c r="F1" t="str">
        <f t="shared" ca="1" si="0"/>
        <v>F</v>
      </c>
      <c r="G1" t="str">
        <f t="shared" ca="1" si="0"/>
        <v>G</v>
      </c>
      <c r="H1" t="str">
        <f t="shared" ca="1" si="0"/>
        <v>H</v>
      </c>
      <c r="I1" t="str">
        <f t="shared" ca="1" si="0"/>
        <v>I</v>
      </c>
      <c r="J1" t="str">
        <f t="shared" ca="1" si="0"/>
        <v>J</v>
      </c>
      <c r="K1" t="str">
        <f t="shared" ca="1" si="0"/>
        <v>K</v>
      </c>
      <c r="L1" t="str">
        <f t="shared" ca="1" si="0"/>
        <v>L</v>
      </c>
      <c r="M1" t="str">
        <f t="shared" ca="1" si="0"/>
        <v>M</v>
      </c>
      <c r="N1" t="str">
        <f t="shared" ca="1" si="0"/>
        <v>N</v>
      </c>
      <c r="O1" t="str">
        <f t="shared" ca="1" si="0"/>
        <v>O</v>
      </c>
      <c r="P1" t="str">
        <f t="shared" ca="1" si="0"/>
        <v>P</v>
      </c>
      <c r="Q1" t="str">
        <f t="shared" ca="1" si="0"/>
        <v>Q</v>
      </c>
      <c r="R1" t="str">
        <f t="shared" ca="1" si="0"/>
        <v>R</v>
      </c>
      <c r="S1" t="str">
        <f t="shared" ca="1" si="0"/>
        <v>S</v>
      </c>
      <c r="T1" t="str">
        <f t="shared" ca="1" si="0"/>
        <v>T</v>
      </c>
      <c r="U1" t="str">
        <f t="shared" ca="1" si="0"/>
        <v>U</v>
      </c>
      <c r="V1" t="str">
        <f t="shared" ca="1" si="0"/>
        <v>V</v>
      </c>
      <c r="W1" t="str">
        <f t="shared" ca="1" si="0"/>
        <v>W</v>
      </c>
      <c r="X1" t="str">
        <f t="shared" ca="1" si="0"/>
        <v>X</v>
      </c>
      <c r="Y1" t="str">
        <f t="shared" ca="1" si="0"/>
        <v>Y</v>
      </c>
      <c r="Z1" t="str">
        <f t="shared" ca="1" si="0"/>
        <v>Z</v>
      </c>
      <c r="AA1" t="str">
        <f t="shared" ca="1" si="0"/>
        <v>AA</v>
      </c>
      <c r="AB1" t="str">
        <f t="shared" ca="1" si="0"/>
        <v>AB</v>
      </c>
      <c r="AC1" t="str">
        <f t="shared" ca="1" si="0"/>
        <v>AC</v>
      </c>
      <c r="AD1" t="str">
        <f t="shared" ca="1" si="0"/>
        <v>AD</v>
      </c>
      <c r="AE1" t="str">
        <f t="shared" ca="1" si="0"/>
        <v>AE</v>
      </c>
      <c r="AF1" t="str">
        <f t="shared" ca="1" si="0"/>
        <v>AF</v>
      </c>
      <c r="AG1" t="str">
        <f t="shared" ca="1" si="0"/>
        <v>AG</v>
      </c>
      <c r="AH1" t="str">
        <f t="shared" ca="1" si="0"/>
        <v>AH</v>
      </c>
      <c r="AI1" t="str">
        <f t="shared" ca="1" si="0"/>
        <v>AI</v>
      </c>
      <c r="AJ1" t="str">
        <f t="shared" ca="1" si="0"/>
        <v>AJ</v>
      </c>
      <c r="AK1" t="str">
        <f t="shared" ca="1" si="0"/>
        <v>AK</v>
      </c>
      <c r="AL1" t="str">
        <f t="shared" ca="1" si="0"/>
        <v>AL</v>
      </c>
      <c r="AM1" t="str">
        <f t="shared" ca="1" si="0"/>
        <v>AM</v>
      </c>
      <c r="AN1" t="str">
        <f t="shared" ca="1" si="0"/>
        <v>AN</v>
      </c>
    </row>
    <row r="2" spans="1:40" ht="16.5" customHeight="1" x14ac:dyDescent="0.55000000000000004">
      <c r="A2">
        <f ca="1">ROW()</f>
        <v>2</v>
      </c>
    </row>
    <row r="3" spans="1:40" ht="16.5" customHeight="1" x14ac:dyDescent="0.55000000000000004">
      <c r="A3">
        <f ca="1">ROW()</f>
        <v>3</v>
      </c>
      <c r="E3" s="2" t="s">
        <v>94</v>
      </c>
      <c r="G3" s="2" t="s">
        <v>95</v>
      </c>
      <c r="J3" s="2" t="s">
        <v>94</v>
      </c>
    </row>
    <row r="4" spans="1:40" ht="16.5" customHeight="1" x14ac:dyDescent="0.55000000000000004">
      <c r="A4">
        <f ca="1">ROW()</f>
        <v>4</v>
      </c>
      <c r="F4" s="12" t="s">
        <v>92</v>
      </c>
      <c r="K4" s="12" t="s">
        <v>92</v>
      </c>
    </row>
    <row r="5" spans="1:40" ht="16.5" customHeight="1" x14ac:dyDescent="0.55000000000000004">
      <c r="A5">
        <f ca="1">ROW()</f>
        <v>5</v>
      </c>
      <c r="F5" s="22" t="s">
        <v>93</v>
      </c>
      <c r="K5" s="22" t="s">
        <v>93</v>
      </c>
    </row>
    <row r="6" spans="1:40" ht="16.5" customHeight="1" x14ac:dyDescent="0.55000000000000004">
      <c r="A6">
        <f ca="1">ROW()</f>
        <v>6</v>
      </c>
    </row>
    <row r="7" spans="1:40" ht="16.5" customHeight="1" x14ac:dyDescent="0.55000000000000004">
      <c r="A7">
        <f ca="1">ROW()</f>
        <v>7</v>
      </c>
      <c r="F7" s="2" t="s">
        <v>96</v>
      </c>
      <c r="K7" s="2" t="s">
        <v>97</v>
      </c>
    </row>
    <row r="8" spans="1:40" ht="16.5" customHeight="1" x14ac:dyDescent="0.55000000000000004">
      <c r="A8">
        <f ca="1">ROW()</f>
        <v>8</v>
      </c>
      <c r="E8" s="2" t="s">
        <v>34</v>
      </c>
      <c r="F8" s="12" t="s">
        <v>38</v>
      </c>
      <c r="G8" s="2" t="s">
        <v>44</v>
      </c>
      <c r="H8" s="2"/>
      <c r="J8" s="2" t="s">
        <v>34</v>
      </c>
      <c r="K8" s="12" t="s">
        <v>38</v>
      </c>
    </row>
    <row r="9" spans="1:40" ht="16.5" customHeight="1" x14ac:dyDescent="0.55000000000000004">
      <c r="A9">
        <f ca="1">ROW()</f>
        <v>9</v>
      </c>
      <c r="C9" s="2"/>
      <c r="F9" s="2"/>
      <c r="G9" s="2" t="s">
        <v>44</v>
      </c>
      <c r="K9" s="2"/>
    </row>
    <row r="10" spans="1:40" ht="16.5" customHeight="1" x14ac:dyDescent="0.55000000000000004">
      <c r="A10">
        <f ca="1">ROW()</f>
        <v>10</v>
      </c>
      <c r="D10" s="2" t="s">
        <v>23</v>
      </c>
      <c r="G10" s="2" t="s">
        <v>44</v>
      </c>
      <c r="I10" s="2" t="s">
        <v>81</v>
      </c>
    </row>
    <row r="11" spans="1:40" ht="16.5" customHeight="1" x14ac:dyDescent="0.55000000000000004">
      <c r="A11">
        <f ca="1">ROW()</f>
        <v>11</v>
      </c>
      <c r="D11" s="2"/>
      <c r="E11" s="2" t="s">
        <v>27</v>
      </c>
      <c r="F11" t="str">
        <f ca="1">F$1&amp;ROW(F24)&amp;":"&amp;F$1&amp;(ROW(F26)-1)</f>
        <v>F24:F25</v>
      </c>
      <c r="G11" s="2" t="s">
        <v>44</v>
      </c>
      <c r="I11" s="2"/>
      <c r="J11" s="2" t="s">
        <v>27</v>
      </c>
      <c r="K11" t="str">
        <f ca="1">K$1&amp;ROW(K24)&amp;":"&amp;K$1&amp;(ROW(K26)-1)</f>
        <v>K24:K25</v>
      </c>
    </row>
    <row r="12" spans="1:40" ht="16.5" customHeight="1" x14ac:dyDescent="0.55000000000000004">
      <c r="A12">
        <f ca="1">ROW()</f>
        <v>12</v>
      </c>
      <c r="E12" t="s">
        <v>2</v>
      </c>
      <c r="F12" t="str">
        <f ca="1">F$1&amp;ROW(F28)&amp;":"&amp;F$1&amp;(ROW(F30)-1)</f>
        <v>F28:F29</v>
      </c>
      <c r="G12" s="2" t="s">
        <v>44</v>
      </c>
      <c r="J12" t="s">
        <v>2</v>
      </c>
      <c r="K12" t="str">
        <f ca="1">K$1&amp;ROW(K28)&amp;":"&amp;K$1&amp;(ROW(K31)-1)</f>
        <v>K28:K30</v>
      </c>
    </row>
    <row r="13" spans="1:40" ht="16.5" customHeight="1" x14ac:dyDescent="0.55000000000000004">
      <c r="A13">
        <f ca="1">ROW()</f>
        <v>13</v>
      </c>
      <c r="E13" t="s">
        <v>3</v>
      </c>
      <c r="F13" t="str">
        <f ca="1">F$1&amp;ROW(F32)&amp;":"&amp;F$1&amp;(ROW(F34)-1)</f>
        <v>F32:F33</v>
      </c>
      <c r="G13" s="2" t="s">
        <v>44</v>
      </c>
      <c r="J13" t="s">
        <v>3</v>
      </c>
      <c r="K13" t="str">
        <f ca="1">K$1&amp;ROW(K33)&amp;":"&amp;K$1&amp;(ROW(K36)-1)</f>
        <v>K33:K35</v>
      </c>
    </row>
    <row r="14" spans="1:40" ht="16.5" customHeight="1" x14ac:dyDescent="0.55000000000000004">
      <c r="A14">
        <f ca="1">ROW()</f>
        <v>14</v>
      </c>
      <c r="D14" s="2"/>
      <c r="E14" s="2" t="s">
        <v>19</v>
      </c>
      <c r="F14" t="str">
        <f ca="1">F$1&amp;ROW(F36)&amp;":"&amp;F$1&amp;(ROW(F38)-1)</f>
        <v>F36:F37</v>
      </c>
      <c r="G14" s="2" t="s">
        <v>44</v>
      </c>
      <c r="I14" s="2"/>
      <c r="J14" s="2" t="s">
        <v>19</v>
      </c>
      <c r="K14" t="str">
        <f ca="1">K$1&amp;ROW(K38)&amp;":"&amp;K$1&amp;(ROW(K40)-1)</f>
        <v>K38:K39</v>
      </c>
    </row>
    <row r="15" spans="1:40" ht="16.5" customHeight="1" x14ac:dyDescent="0.55000000000000004">
      <c r="A15">
        <f ca="1">ROW()</f>
        <v>15</v>
      </c>
      <c r="E15" t="s">
        <v>0</v>
      </c>
      <c r="F15" t="str">
        <f ca="1">F$1&amp;ROW(F40)&amp;":"&amp;F$1&amp;(ROW(F42)-1)</f>
        <v>F40:F41</v>
      </c>
      <c r="G15" s="2" t="s">
        <v>44</v>
      </c>
      <c r="J15" t="s">
        <v>0</v>
      </c>
      <c r="K15" t="str">
        <f ca="1">K$1&amp;ROW(K42)&amp;":"&amp;K$1&amp;(ROW(K45)-1)</f>
        <v>K42:K44</v>
      </c>
    </row>
    <row r="16" spans="1:40" ht="16.5" customHeight="1" x14ac:dyDescent="0.55000000000000004">
      <c r="A16">
        <f ca="1">ROW()</f>
        <v>16</v>
      </c>
      <c r="E16" t="s">
        <v>1</v>
      </c>
      <c r="F16" t="str">
        <f ca="1">F$1&amp;ROW(F44)&amp;":"&amp;F$1&amp;(ROW(F46)-1)</f>
        <v>F44:F45</v>
      </c>
      <c r="G16" s="2" t="s">
        <v>44</v>
      </c>
      <c r="J16" t="s">
        <v>1</v>
      </c>
      <c r="K16" t="str">
        <f ca="1">K$1&amp;ROW(K47)&amp;":"&amp;K$1&amp;(ROW(K50)-1)</f>
        <v>K47:K49</v>
      </c>
    </row>
    <row r="17" spans="1:13" ht="16.5" customHeight="1" x14ac:dyDescent="0.55000000000000004">
      <c r="A17">
        <f ca="1">ROW()</f>
        <v>17</v>
      </c>
      <c r="E17" t="s">
        <v>4</v>
      </c>
      <c r="F17" t="str">
        <f ca="1">F$1&amp;ROW(F50)&amp;":"&amp;F$1&amp;(ROW(F52)-1)</f>
        <v>F50:F51</v>
      </c>
      <c r="G17" s="2" t="s">
        <v>44</v>
      </c>
      <c r="J17" t="s">
        <v>4</v>
      </c>
      <c r="K17" t="str">
        <f ca="1">K$1&amp;ROW(K54)&amp;":"&amp;K$1&amp;(ROW(K57)-1)</f>
        <v>K54:K56</v>
      </c>
    </row>
    <row r="18" spans="1:13" ht="16.5" customHeight="1" x14ac:dyDescent="0.55000000000000004">
      <c r="A18">
        <f ca="1">ROW()</f>
        <v>18</v>
      </c>
      <c r="E18" s="2" t="s">
        <v>39</v>
      </c>
      <c r="F18" t="str">
        <f ca="1">F$1&amp;ROW(F54)&amp;":"&amp;F$1&amp;(ROW(F56)-1)</f>
        <v>F54:F55</v>
      </c>
      <c r="G18" s="2" t="s">
        <v>44</v>
      </c>
      <c r="J18" s="2" t="s">
        <v>39</v>
      </c>
      <c r="K18" t="str">
        <f ca="1">K$1&amp;ROW(K59)&amp;":"&amp;K$1&amp;(ROW(K62)-1)</f>
        <v>K59:K61</v>
      </c>
    </row>
    <row r="19" spans="1:13" ht="16.5" customHeight="1" x14ac:dyDescent="0.55000000000000004">
      <c r="A19">
        <f ca="1">ROW()</f>
        <v>19</v>
      </c>
      <c r="E19" s="2" t="s">
        <v>40</v>
      </c>
      <c r="F19" t="str">
        <f ca="1">F$1&amp;ROW(F58)&amp;":"&amp;F$1&amp;(ROW(F60)-1)</f>
        <v>F58:F59</v>
      </c>
      <c r="G19" s="2" t="s">
        <v>44</v>
      </c>
      <c r="J19" s="2" t="s">
        <v>40</v>
      </c>
      <c r="K19" t="str">
        <f ca="1">K$1&amp;ROW(K64)&amp;":"&amp;K$1&amp;(ROW(K67)-1)</f>
        <v>K64:K66</v>
      </c>
    </row>
    <row r="20" spans="1:13" ht="16.5" customHeight="1" x14ac:dyDescent="0.55000000000000004">
      <c r="A20">
        <f ca="1">ROW()</f>
        <v>20</v>
      </c>
      <c r="E20" s="2" t="s">
        <v>17</v>
      </c>
      <c r="F20" t="str">
        <f ca="1">F$1&amp;ROW(F62)&amp;":"&amp;F$1&amp;(ROW(F64)-1)</f>
        <v>F62:F63</v>
      </c>
      <c r="G20" s="2" t="s">
        <v>44</v>
      </c>
      <c r="J20" s="2" t="s">
        <v>17</v>
      </c>
      <c r="K20" t="str">
        <f ca="1">K$1&amp;ROW(K69)&amp;":"&amp;K$1&amp;(ROW(K72)-1)</f>
        <v>K69:K71</v>
      </c>
    </row>
    <row r="21" spans="1:13" ht="16.5" customHeight="1" x14ac:dyDescent="0.55000000000000004">
      <c r="A21">
        <f ca="1">ROW()</f>
        <v>21</v>
      </c>
      <c r="E21" s="2" t="s">
        <v>16</v>
      </c>
      <c r="F21" t="str">
        <f ca="1">F$1&amp;ROW(F66)&amp;":"&amp;F$1&amp;(ROW(F70)-1)</f>
        <v>F66:F69</v>
      </c>
      <c r="G21" s="2" t="s">
        <v>44</v>
      </c>
      <c r="J21" s="2" t="s">
        <v>16</v>
      </c>
      <c r="K21" t="str">
        <f ca="1">K$1&amp;ROW(K74)&amp;":"&amp;K$1&amp;(ROW(K83)-1)</f>
        <v>K74:K82</v>
      </c>
    </row>
    <row r="22" spans="1:13" ht="16.5" customHeight="1" x14ac:dyDescent="0.55000000000000004">
      <c r="A22">
        <f ca="1">ROW()</f>
        <v>22</v>
      </c>
      <c r="D22" s="3" t="s">
        <v>10</v>
      </c>
      <c r="E22" s="3" t="s">
        <v>10</v>
      </c>
      <c r="F22" s="3" t="s">
        <v>10</v>
      </c>
      <c r="G22" s="2" t="s">
        <v>44</v>
      </c>
      <c r="I22" s="3" t="s">
        <v>10</v>
      </c>
      <c r="J22" s="3" t="s">
        <v>10</v>
      </c>
      <c r="K22" s="3" t="s">
        <v>10</v>
      </c>
    </row>
    <row r="23" spans="1:13" ht="16.5" customHeight="1" x14ac:dyDescent="0.55000000000000004">
      <c r="A23">
        <f ca="1">ROW()</f>
        <v>23</v>
      </c>
      <c r="D23" s="3" t="s">
        <v>28</v>
      </c>
      <c r="E23" s="3"/>
      <c r="F23" s="3"/>
      <c r="G23" s="2" t="s">
        <v>44</v>
      </c>
      <c r="I23" s="3" t="s">
        <v>28</v>
      </c>
      <c r="J23" s="3"/>
      <c r="K23" s="3"/>
    </row>
    <row r="24" spans="1:13" ht="16.5" customHeight="1" x14ac:dyDescent="0.55000000000000004">
      <c r="A24">
        <f ca="1">ROW()</f>
        <v>24</v>
      </c>
      <c r="D24" s="3"/>
      <c r="E24" s="3" t="s">
        <v>29</v>
      </c>
      <c r="F24" s="13" t="s">
        <v>32</v>
      </c>
      <c r="G24" s="2" t="s">
        <v>44</v>
      </c>
      <c r="I24" s="3"/>
      <c r="J24" s="3" t="s">
        <v>29</v>
      </c>
      <c r="K24" s="13" t="s">
        <v>32</v>
      </c>
    </row>
    <row r="25" spans="1:13" ht="16.5" customHeight="1" x14ac:dyDescent="0.55000000000000004">
      <c r="A25">
        <f ca="1">ROW()</f>
        <v>25</v>
      </c>
      <c r="D25" s="3"/>
      <c r="E25" s="3" t="s">
        <v>30</v>
      </c>
      <c r="F25" s="13" t="s">
        <v>31</v>
      </c>
      <c r="G25" s="2" t="s">
        <v>44</v>
      </c>
      <c r="I25" s="3"/>
      <c r="J25" s="3" t="s">
        <v>30</v>
      </c>
      <c r="K25" s="13" t="s">
        <v>31</v>
      </c>
    </row>
    <row r="26" spans="1:13" ht="16.5" customHeight="1" x14ac:dyDescent="0.55000000000000004">
      <c r="A26">
        <f ca="1">ROW()</f>
        <v>26</v>
      </c>
      <c r="D26" s="3" t="s">
        <v>10</v>
      </c>
      <c r="E26" s="3" t="s">
        <v>10</v>
      </c>
      <c r="F26" s="3" t="s">
        <v>10</v>
      </c>
      <c r="G26" s="2" t="s">
        <v>44</v>
      </c>
      <c r="I26" s="3" t="s">
        <v>10</v>
      </c>
      <c r="J26" s="3" t="s">
        <v>10</v>
      </c>
      <c r="K26" s="3" t="s">
        <v>10</v>
      </c>
    </row>
    <row r="27" spans="1:13" ht="16.5" customHeight="1" x14ac:dyDescent="0.55000000000000004">
      <c r="A27">
        <f ca="1">ROW()</f>
        <v>27</v>
      </c>
      <c r="D27" t="s">
        <v>7</v>
      </c>
      <c r="G27" s="2" t="s">
        <v>44</v>
      </c>
      <c r="I27" s="2" t="s">
        <v>82</v>
      </c>
    </row>
    <row r="28" spans="1:13" ht="16.5" customHeight="1" x14ac:dyDescent="0.55000000000000004">
      <c r="A28">
        <f ca="1">ROW()</f>
        <v>28</v>
      </c>
      <c r="E28" s="2" t="s">
        <v>26</v>
      </c>
      <c r="F28" s="14">
        <v>1E-4</v>
      </c>
      <c r="G28" s="2" t="s">
        <v>44</v>
      </c>
      <c r="H28" s="9"/>
      <c r="J28" s="2" t="s">
        <v>26</v>
      </c>
      <c r="K28" s="14">
        <v>0.01</v>
      </c>
      <c r="M28" s="9"/>
    </row>
    <row r="29" spans="1:13" ht="16.5" customHeight="1" x14ac:dyDescent="0.55000000000000004">
      <c r="A29">
        <f ca="1">ROW()</f>
        <v>29</v>
      </c>
      <c r="E29" s="2" t="s">
        <v>25</v>
      </c>
      <c r="F29" s="14">
        <v>1E-4</v>
      </c>
      <c r="G29" s="2" t="s">
        <v>44</v>
      </c>
      <c r="J29" s="2" t="s">
        <v>25</v>
      </c>
      <c r="K29" s="14">
        <v>0.01</v>
      </c>
    </row>
    <row r="30" spans="1:13" ht="16.5" customHeight="1" x14ac:dyDescent="0.55000000000000004">
      <c r="A30">
        <f ca="1">ROW()</f>
        <v>30</v>
      </c>
      <c r="D30" s="3" t="s">
        <v>10</v>
      </c>
      <c r="E30" s="3" t="s">
        <v>10</v>
      </c>
      <c r="F30" s="3" t="s">
        <v>33</v>
      </c>
      <c r="G30" s="2" t="s">
        <v>44</v>
      </c>
      <c r="J30" s="2" t="s">
        <v>43</v>
      </c>
      <c r="K30" s="14">
        <v>0.01</v>
      </c>
    </row>
    <row r="31" spans="1:13" ht="16.5" customHeight="1" x14ac:dyDescent="0.55000000000000004">
      <c r="A31">
        <f ca="1">ROW()</f>
        <v>31</v>
      </c>
      <c r="D31" t="s">
        <v>8</v>
      </c>
      <c r="G31" s="2" t="s">
        <v>44</v>
      </c>
      <c r="I31" s="3" t="s">
        <v>10</v>
      </c>
      <c r="J31" s="3" t="s">
        <v>10</v>
      </c>
      <c r="K31" s="3" t="s">
        <v>33</v>
      </c>
    </row>
    <row r="32" spans="1:13" ht="16.5" customHeight="1" x14ac:dyDescent="0.55000000000000004">
      <c r="A32">
        <f ca="1">ROW()</f>
        <v>32</v>
      </c>
      <c r="E32" s="2" t="s">
        <v>24</v>
      </c>
      <c r="F32" s="14">
        <v>2</v>
      </c>
      <c r="G32" s="2" t="s">
        <v>44</v>
      </c>
      <c r="I32" s="2" t="s">
        <v>83</v>
      </c>
    </row>
    <row r="33" spans="1:11" ht="16.5" customHeight="1" x14ac:dyDescent="0.55000000000000004">
      <c r="A33">
        <f ca="1">ROW()</f>
        <v>33</v>
      </c>
      <c r="E33" s="2" t="s">
        <v>25</v>
      </c>
      <c r="F33" s="14">
        <v>2</v>
      </c>
      <c r="G33" s="2" t="s">
        <v>44</v>
      </c>
      <c r="J33" s="2" t="s">
        <v>24</v>
      </c>
      <c r="K33" s="14">
        <v>20</v>
      </c>
    </row>
    <row r="34" spans="1:11" ht="16.5" customHeight="1" x14ac:dyDescent="0.55000000000000004">
      <c r="A34">
        <f ca="1">ROW()</f>
        <v>34</v>
      </c>
      <c r="D34" s="3" t="s">
        <v>10</v>
      </c>
      <c r="E34" s="3" t="s">
        <v>10</v>
      </c>
      <c r="F34" s="3" t="s">
        <v>33</v>
      </c>
      <c r="G34" s="2" t="s">
        <v>44</v>
      </c>
      <c r="J34" s="2" t="s">
        <v>25</v>
      </c>
      <c r="K34" s="14">
        <v>20</v>
      </c>
    </row>
    <row r="35" spans="1:11" ht="16.5" customHeight="1" x14ac:dyDescent="0.55000000000000004">
      <c r="A35">
        <f ca="1">ROW()</f>
        <v>35</v>
      </c>
      <c r="D35" s="3" t="s">
        <v>21</v>
      </c>
      <c r="E35" s="3"/>
      <c r="F35" s="3"/>
      <c r="G35" s="2" t="s">
        <v>44</v>
      </c>
      <c r="J35" s="2" t="s">
        <v>43</v>
      </c>
      <c r="K35" s="14">
        <v>20</v>
      </c>
    </row>
    <row r="36" spans="1:11" ht="16.5" customHeight="1" x14ac:dyDescent="0.55000000000000004">
      <c r="A36">
        <f ca="1">ROW()</f>
        <v>36</v>
      </c>
      <c r="D36" s="3"/>
      <c r="E36" s="3" t="s">
        <v>36</v>
      </c>
      <c r="F36" s="2" t="s">
        <v>35</v>
      </c>
      <c r="G36" s="2" t="s">
        <v>44</v>
      </c>
      <c r="I36" s="3" t="s">
        <v>10</v>
      </c>
      <c r="J36" s="3" t="s">
        <v>10</v>
      </c>
      <c r="K36" s="3" t="s">
        <v>33</v>
      </c>
    </row>
    <row r="37" spans="1:11" ht="16.5" customHeight="1" x14ac:dyDescent="0.55000000000000004">
      <c r="A37">
        <f ca="1">ROW()</f>
        <v>37</v>
      </c>
      <c r="D37" s="3"/>
      <c r="E37" s="3" t="s">
        <v>20</v>
      </c>
      <c r="F37" s="3" t="s">
        <v>37</v>
      </c>
      <c r="G37" s="2" t="s">
        <v>44</v>
      </c>
      <c r="I37" s="3" t="s">
        <v>79</v>
      </c>
      <c r="J37" s="3"/>
      <c r="K37" s="3"/>
    </row>
    <row r="38" spans="1:11" ht="16.5" customHeight="1" x14ac:dyDescent="0.55000000000000004">
      <c r="A38">
        <f ca="1">ROW()</f>
        <v>38</v>
      </c>
      <c r="D38" s="3" t="s">
        <v>10</v>
      </c>
      <c r="E38" s="3" t="s">
        <v>10</v>
      </c>
      <c r="F38" s="3" t="s">
        <v>10</v>
      </c>
      <c r="G38" s="2" t="s">
        <v>44</v>
      </c>
      <c r="I38" s="3"/>
      <c r="J38" s="3" t="s">
        <v>36</v>
      </c>
      <c r="K38" s="2" t="s">
        <v>35</v>
      </c>
    </row>
    <row r="39" spans="1:11" ht="16.5" customHeight="1" x14ac:dyDescent="0.55000000000000004">
      <c r="A39">
        <f ca="1">ROW()</f>
        <v>39</v>
      </c>
      <c r="D39" t="s">
        <v>5</v>
      </c>
      <c r="F39" s="1"/>
      <c r="G39" s="2" t="s">
        <v>44</v>
      </c>
      <c r="I39" s="3"/>
      <c r="J39" s="3" t="s">
        <v>20</v>
      </c>
      <c r="K39" s="3" t="s">
        <v>37</v>
      </c>
    </row>
    <row r="40" spans="1:11" ht="16.5" customHeight="1" x14ac:dyDescent="0.55000000000000004">
      <c r="A40">
        <f ca="1">ROW()</f>
        <v>40</v>
      </c>
      <c r="E40" s="2" t="s">
        <v>26</v>
      </c>
      <c r="F40" s="6">
        <v>2.1214203482736882</v>
      </c>
      <c r="G40" s="2" t="s">
        <v>44</v>
      </c>
      <c r="I40" s="3" t="s">
        <v>10</v>
      </c>
      <c r="J40" s="3" t="s">
        <v>10</v>
      </c>
      <c r="K40" s="3" t="s">
        <v>10</v>
      </c>
    </row>
    <row r="41" spans="1:11" ht="16.5" customHeight="1" x14ac:dyDescent="0.55000000000000004">
      <c r="A41">
        <f ca="1">ROW()</f>
        <v>41</v>
      </c>
      <c r="E41" s="2" t="s">
        <v>25</v>
      </c>
      <c r="F41" s="7">
        <v>0.70720679532868269</v>
      </c>
      <c r="G41" s="2" t="s">
        <v>44</v>
      </c>
      <c r="I41" s="2" t="s">
        <v>80</v>
      </c>
      <c r="K41" s="1"/>
    </row>
    <row r="42" spans="1:11" ht="16.5" customHeight="1" x14ac:dyDescent="0.55000000000000004">
      <c r="A42">
        <f ca="1">ROW()</f>
        <v>42</v>
      </c>
      <c r="D42" s="3" t="s">
        <v>10</v>
      </c>
      <c r="E42" s="3" t="s">
        <v>10</v>
      </c>
      <c r="F42" s="3" t="s">
        <v>33</v>
      </c>
      <c r="G42" s="2" t="s">
        <v>44</v>
      </c>
      <c r="J42" s="2" t="s">
        <v>26</v>
      </c>
      <c r="K42" s="18">
        <v>337.71491803278684</v>
      </c>
    </row>
    <row r="43" spans="1:11" ht="16.5" customHeight="1" x14ac:dyDescent="0.55000000000000004">
      <c r="A43">
        <f ca="1">ROW()</f>
        <v>43</v>
      </c>
      <c r="D43" t="s">
        <v>6</v>
      </c>
      <c r="G43" s="2" t="s">
        <v>44</v>
      </c>
      <c r="J43" s="2" t="s">
        <v>25</v>
      </c>
      <c r="K43" s="19">
        <v>336.40344262295082</v>
      </c>
    </row>
    <row r="44" spans="1:11" ht="16.5" customHeight="1" x14ac:dyDescent="0.55000000000000004">
      <c r="A44">
        <f ca="1">ROW()</f>
        <v>44</v>
      </c>
      <c r="E44" s="2" t="s">
        <v>26</v>
      </c>
      <c r="F44" s="5">
        <f ca="1">F40^2+F41^2-5</f>
        <v>5.6574542872134259E-4</v>
      </c>
      <c r="G44" s="2" t="s">
        <v>44</v>
      </c>
      <c r="J44" s="2" t="s">
        <v>43</v>
      </c>
      <c r="K44" s="19">
        <v>331.15754098360657</v>
      </c>
    </row>
    <row r="45" spans="1:11" ht="16.5" customHeight="1" x14ac:dyDescent="0.55000000000000004">
      <c r="A45">
        <f ca="1">ROW()</f>
        <v>45</v>
      </c>
      <c r="E45" s="2" t="s">
        <v>25</v>
      </c>
      <c r="F45" s="5">
        <f ca="1">1/9*F40^2+F41^2-1</f>
        <v>1.8859514458258175E-4</v>
      </c>
      <c r="G45" s="2" t="s">
        <v>44</v>
      </c>
      <c r="I45" s="3" t="s">
        <v>10</v>
      </c>
      <c r="J45" s="3" t="s">
        <v>10</v>
      </c>
      <c r="K45" s="3" t="s">
        <v>33</v>
      </c>
    </row>
    <row r="46" spans="1:11" ht="16.5" customHeight="1" x14ac:dyDescent="0.55000000000000004">
      <c r="A46">
        <f ca="1">ROW()</f>
        <v>46</v>
      </c>
      <c r="D46" s="3"/>
      <c r="E46" s="3" t="s">
        <v>10</v>
      </c>
      <c r="F46" s="3" t="s">
        <v>33</v>
      </c>
      <c r="G46" s="2" t="s">
        <v>44</v>
      </c>
      <c r="I46" s="2" t="s">
        <v>84</v>
      </c>
    </row>
    <row r="47" spans="1:11" ht="16.5" customHeight="1" x14ac:dyDescent="0.55000000000000004">
      <c r="A47">
        <f ca="1">ROW()</f>
        <v>47</v>
      </c>
      <c r="E47" s="3" t="s">
        <v>11</v>
      </c>
      <c r="F47" s="4">
        <f ca="1">SQRT(SUMSQ(F44:F46))</f>
        <v>5.9635226056352017E-4</v>
      </c>
      <c r="G47" s="2" t="s">
        <v>44</v>
      </c>
      <c r="J47" s="2" t="s">
        <v>26</v>
      </c>
      <c r="K47" s="17">
        <f ca="1">K115</f>
        <v>-4.9999999955048224E-3</v>
      </c>
    </row>
    <row r="48" spans="1:11" ht="16.5" customHeight="1" x14ac:dyDescent="0.55000000000000004">
      <c r="A48">
        <f ca="1">ROW()</f>
        <v>48</v>
      </c>
      <c r="D48" s="3" t="s">
        <v>10</v>
      </c>
      <c r="E48" s="3" t="s">
        <v>10</v>
      </c>
      <c r="F48" s="3" t="s">
        <v>10</v>
      </c>
      <c r="G48" s="2" t="s">
        <v>44</v>
      </c>
      <c r="J48" s="2" t="s">
        <v>25</v>
      </c>
      <c r="K48" s="17">
        <f ca="1">K116</f>
        <v>-4.2632564145606011E-12</v>
      </c>
    </row>
    <row r="49" spans="1:12" ht="16.5" customHeight="1" x14ac:dyDescent="0.55000000000000004">
      <c r="A49">
        <f ca="1">ROW()</f>
        <v>49</v>
      </c>
      <c r="D49" t="s">
        <v>9</v>
      </c>
      <c r="G49" s="2" t="s">
        <v>44</v>
      </c>
      <c r="J49" s="2" t="s">
        <v>43</v>
      </c>
      <c r="K49" s="17">
        <f ca="1">K117</f>
        <v>-1.0000000000218279E-2</v>
      </c>
    </row>
    <row r="50" spans="1:12" ht="16.5" customHeight="1" x14ac:dyDescent="0.55000000000000004">
      <c r="A50">
        <f ca="1">ROW()</f>
        <v>50</v>
      </c>
      <c r="E50" s="2" t="s">
        <v>26</v>
      </c>
      <c r="F50" s="6">
        <v>-1.0000000000005885E-4</v>
      </c>
      <c r="G50" s="2" t="s">
        <v>44</v>
      </c>
      <c r="I50" s="3"/>
      <c r="J50" s="3" t="s">
        <v>10</v>
      </c>
      <c r="K50" s="3" t="s">
        <v>33</v>
      </c>
    </row>
    <row r="51" spans="1:12" ht="16.5" customHeight="1" x14ac:dyDescent="0.55000000000000004">
      <c r="A51">
        <f ca="1">ROW()</f>
        <v>51</v>
      </c>
      <c r="E51" s="2" t="s">
        <v>25</v>
      </c>
      <c r="F51" s="6">
        <v>-1.0000000000045129E-4</v>
      </c>
      <c r="G51" s="2" t="s">
        <v>44</v>
      </c>
      <c r="J51" s="3" t="s">
        <v>11</v>
      </c>
      <c r="K51" s="4">
        <f ca="1">SQRT(SUMSQ(K47:K50))</f>
        <v>1.1180339885683878E-2</v>
      </c>
    </row>
    <row r="52" spans="1:12" ht="16.5" customHeight="1" x14ac:dyDescent="0.55000000000000004">
      <c r="A52">
        <f ca="1">ROW()</f>
        <v>52</v>
      </c>
      <c r="D52" s="3" t="s">
        <v>10</v>
      </c>
      <c r="E52" s="3" t="s">
        <v>10</v>
      </c>
      <c r="F52" s="3" t="s">
        <v>33</v>
      </c>
      <c r="G52" s="2" t="s">
        <v>44</v>
      </c>
      <c r="I52" s="3" t="s">
        <v>10</v>
      </c>
      <c r="J52" s="3" t="s">
        <v>10</v>
      </c>
      <c r="K52" s="3" t="s">
        <v>10</v>
      </c>
    </row>
    <row r="53" spans="1:12" ht="16.5" customHeight="1" x14ac:dyDescent="0.55000000000000004">
      <c r="A53">
        <f ca="1">ROW()</f>
        <v>53</v>
      </c>
      <c r="D53" s="2" t="s">
        <v>41</v>
      </c>
      <c r="G53" s="2" t="s">
        <v>44</v>
      </c>
      <c r="I53" s="2" t="s">
        <v>88</v>
      </c>
    </row>
    <row r="54" spans="1:12" ht="16.5" customHeight="1" x14ac:dyDescent="0.55000000000000004">
      <c r="A54">
        <f ca="1">ROW()</f>
        <v>54</v>
      </c>
      <c r="E54" s="2" t="s">
        <v>26</v>
      </c>
      <c r="F54" s="6">
        <v>2.1214203482736882</v>
      </c>
      <c r="G54" s="2" t="s">
        <v>44</v>
      </c>
      <c r="J54" s="2" t="s">
        <v>26</v>
      </c>
      <c r="K54" s="20">
        <v>-9.9999999999646413E-3</v>
      </c>
      <c r="L54" s="11"/>
    </row>
    <row r="55" spans="1:12" ht="16.5" customHeight="1" x14ac:dyDescent="0.55000000000000004">
      <c r="A55">
        <f ca="1">ROW()</f>
        <v>55</v>
      </c>
      <c r="E55" s="2" t="s">
        <v>25</v>
      </c>
      <c r="F55" s="6">
        <v>0.70720679532868314</v>
      </c>
      <c r="G55" s="2" t="s">
        <v>44</v>
      </c>
      <c r="J55" s="2" t="s">
        <v>25</v>
      </c>
      <c r="K55" s="20">
        <v>-1.0000000000009369E-2</v>
      </c>
      <c r="L55" s="11"/>
    </row>
    <row r="56" spans="1:12" ht="16.5" customHeight="1" x14ac:dyDescent="0.55000000000000004">
      <c r="A56">
        <f ca="1">ROW()</f>
        <v>56</v>
      </c>
      <c r="D56" s="3" t="s">
        <v>10</v>
      </c>
      <c r="E56" s="3" t="s">
        <v>33</v>
      </c>
      <c r="F56" s="3"/>
      <c r="G56" s="2" t="s">
        <v>44</v>
      </c>
      <c r="J56" s="2" t="s">
        <v>43</v>
      </c>
      <c r="K56" s="20">
        <v>-1.0000000000017755E-2</v>
      </c>
    </row>
    <row r="57" spans="1:12" ht="16.5" customHeight="1" x14ac:dyDescent="0.55000000000000004">
      <c r="A57">
        <f ca="1">ROW()</f>
        <v>57</v>
      </c>
      <c r="D57" s="2" t="s">
        <v>42</v>
      </c>
      <c r="G57" s="2" t="s">
        <v>44</v>
      </c>
      <c r="I57" s="3" t="s">
        <v>10</v>
      </c>
      <c r="J57" s="3" t="s">
        <v>10</v>
      </c>
      <c r="K57" s="3" t="s">
        <v>33</v>
      </c>
    </row>
    <row r="58" spans="1:12" ht="16.5" customHeight="1" x14ac:dyDescent="0.55000000000000004">
      <c r="A58">
        <f ca="1">ROW()</f>
        <v>58</v>
      </c>
      <c r="E58" s="2" t="s">
        <v>26</v>
      </c>
      <c r="F58" s="10">
        <v>5.6574542872223077E-4</v>
      </c>
      <c r="G58" s="2" t="s">
        <v>44</v>
      </c>
      <c r="I58" s="2" t="s">
        <v>87</v>
      </c>
      <c r="L58" s="5"/>
    </row>
    <row r="59" spans="1:12" ht="16.5" customHeight="1" x14ac:dyDescent="0.55000000000000004">
      <c r="A59">
        <f ca="1">ROW()</f>
        <v>59</v>
      </c>
      <c r="E59" s="2" t="s">
        <v>25</v>
      </c>
      <c r="F59" s="10">
        <v>1.8859514458346993E-4</v>
      </c>
      <c r="G59" s="2" t="s">
        <v>44</v>
      </c>
      <c r="J59" s="2" t="s">
        <v>26</v>
      </c>
      <c r="K59" s="6">
        <v>337.71491803278684</v>
      </c>
      <c r="L59" s="5"/>
    </row>
    <row r="60" spans="1:12" ht="16.5" customHeight="1" x14ac:dyDescent="0.55000000000000004">
      <c r="A60">
        <f ca="1">ROW()</f>
        <v>60</v>
      </c>
      <c r="D60" s="3" t="s">
        <v>10</v>
      </c>
      <c r="E60" s="3" t="s">
        <v>10</v>
      </c>
      <c r="F60" s="3" t="s">
        <v>33</v>
      </c>
      <c r="G60" s="2" t="s">
        <v>44</v>
      </c>
      <c r="J60" s="2" t="s">
        <v>25</v>
      </c>
      <c r="K60" s="6">
        <v>336.40344262295082</v>
      </c>
    </row>
    <row r="61" spans="1:12" ht="16.5" customHeight="1" x14ac:dyDescent="0.55000000000000004">
      <c r="A61">
        <f ca="1">ROW()</f>
        <v>61</v>
      </c>
      <c r="D61" s="2" t="s">
        <v>18</v>
      </c>
      <c r="G61" s="2" t="s">
        <v>44</v>
      </c>
      <c r="J61" s="2" t="s">
        <v>43</v>
      </c>
      <c r="K61" s="6">
        <v>331.15754098360657</v>
      </c>
    </row>
    <row r="62" spans="1:12" ht="16.5" customHeight="1" x14ac:dyDescent="0.55000000000000004">
      <c r="A62">
        <f ca="1">ROW()</f>
        <v>62</v>
      </c>
      <c r="E62" s="2" t="s">
        <v>26</v>
      </c>
      <c r="F62" s="10">
        <v>-8.8817841970012523E-16</v>
      </c>
      <c r="G62" s="2" t="s">
        <v>44</v>
      </c>
      <c r="I62" s="3" t="s">
        <v>10</v>
      </c>
      <c r="J62" s="3" t="s">
        <v>33</v>
      </c>
      <c r="K62" s="3"/>
    </row>
    <row r="63" spans="1:12" ht="16.5" customHeight="1" x14ac:dyDescent="0.55000000000000004">
      <c r="A63">
        <f ca="1">ROW()</f>
        <v>63</v>
      </c>
      <c r="E63" s="2" t="s">
        <v>25</v>
      </c>
      <c r="F63" s="10">
        <v>-8.8817841970012523E-16</v>
      </c>
      <c r="G63" s="2" t="s">
        <v>44</v>
      </c>
      <c r="I63" s="2" t="s">
        <v>86</v>
      </c>
    </row>
    <row r="64" spans="1:12" ht="16.5" customHeight="1" x14ac:dyDescent="0.55000000000000004">
      <c r="A64">
        <f ca="1">ROW()</f>
        <v>64</v>
      </c>
      <c r="D64" s="3" t="s">
        <v>10</v>
      </c>
      <c r="E64" s="3" t="s">
        <v>10</v>
      </c>
      <c r="F64" s="3" t="s">
        <v>33</v>
      </c>
      <c r="G64" s="2" t="s">
        <v>44</v>
      </c>
      <c r="J64" s="2" t="s">
        <v>26</v>
      </c>
      <c r="K64" s="10">
        <v>-4.9999999955048224E-3</v>
      </c>
    </row>
    <row r="65" spans="1:16" ht="16.5" customHeight="1" x14ac:dyDescent="0.55000000000000004">
      <c r="A65">
        <f ca="1">ROW()</f>
        <v>65</v>
      </c>
      <c r="D65" s="2" t="s">
        <v>22</v>
      </c>
      <c r="G65" s="2" t="s">
        <v>44</v>
      </c>
      <c r="J65" s="2" t="s">
        <v>25</v>
      </c>
      <c r="K65" s="10">
        <v>-4.2632564145606011E-12</v>
      </c>
    </row>
    <row r="66" spans="1:16" ht="16.5" customHeight="1" x14ac:dyDescent="0.55000000000000004">
      <c r="A66">
        <f ca="1">ROW()</f>
        <v>66</v>
      </c>
      <c r="E66" s="2" t="s">
        <v>13</v>
      </c>
      <c r="F66" s="8">
        <v>4.2429406965549532</v>
      </c>
      <c r="G66" s="2" t="s">
        <v>44</v>
      </c>
      <c r="J66" s="2" t="s">
        <v>43</v>
      </c>
      <c r="K66" s="10">
        <v>-1.0000000000218279E-2</v>
      </c>
    </row>
    <row r="67" spans="1:16" ht="16.5" customHeight="1" x14ac:dyDescent="0.55000000000000004">
      <c r="A67">
        <f ca="1">ROW()</f>
        <v>67</v>
      </c>
      <c r="E67" s="2" t="s">
        <v>12</v>
      </c>
      <c r="F67" s="8">
        <v>1.4145135906584727</v>
      </c>
      <c r="G67" s="2" t="s">
        <v>44</v>
      </c>
      <c r="I67" s="3" t="s">
        <v>10</v>
      </c>
      <c r="J67" s="3" t="s">
        <v>10</v>
      </c>
      <c r="K67" s="3" t="s">
        <v>33</v>
      </c>
    </row>
    <row r="68" spans="1:16" ht="16.5" customHeight="1" x14ac:dyDescent="0.55000000000000004">
      <c r="A68">
        <f ca="1">ROW()</f>
        <v>68</v>
      </c>
      <c r="E68" s="2" t="s">
        <v>14</v>
      </c>
      <c r="F68" s="8">
        <v>0.47143785517178571</v>
      </c>
      <c r="G68" s="2" t="s">
        <v>44</v>
      </c>
      <c r="I68" s="2" t="s">
        <v>85</v>
      </c>
    </row>
    <row r="69" spans="1:16" ht="16.5" customHeight="1" x14ac:dyDescent="0.55000000000000004">
      <c r="A69">
        <f ca="1">ROW()</f>
        <v>69</v>
      </c>
      <c r="E69" s="2" t="s">
        <v>15</v>
      </c>
      <c r="F69" s="8">
        <v>1.4145135906562523</v>
      </c>
      <c r="G69" s="2" t="s">
        <v>44</v>
      </c>
      <c r="J69" s="2" t="s">
        <v>26</v>
      </c>
      <c r="K69" s="21">
        <v>0</v>
      </c>
    </row>
    <row r="70" spans="1:16" ht="16.5" customHeight="1" x14ac:dyDescent="0.55000000000000004">
      <c r="A70">
        <f ca="1">ROW()</f>
        <v>70</v>
      </c>
      <c r="D70" s="3" t="s">
        <v>10</v>
      </c>
      <c r="E70" s="3" t="s">
        <v>10</v>
      </c>
      <c r="F70" s="3" t="s">
        <v>33</v>
      </c>
      <c r="G70" s="2" t="s">
        <v>44</v>
      </c>
      <c r="J70" s="2" t="s">
        <v>25</v>
      </c>
      <c r="K70" s="21">
        <v>0</v>
      </c>
    </row>
    <row r="71" spans="1:16" ht="16.5" customHeight="1" x14ac:dyDescent="0.55000000000000004">
      <c r="J71" s="2" t="s">
        <v>43</v>
      </c>
      <c r="K71" s="21">
        <v>0</v>
      </c>
    </row>
    <row r="72" spans="1:16" ht="16.5" customHeight="1" x14ac:dyDescent="0.55000000000000004">
      <c r="I72" s="3" t="s">
        <v>10</v>
      </c>
      <c r="J72" s="3" t="s">
        <v>10</v>
      </c>
      <c r="K72" s="3" t="s">
        <v>33</v>
      </c>
    </row>
    <row r="73" spans="1:16" ht="16.5" customHeight="1" x14ac:dyDescent="0.55000000000000004">
      <c r="I73" s="2" t="s">
        <v>89</v>
      </c>
    </row>
    <row r="74" spans="1:16" ht="16.5" customHeight="1" x14ac:dyDescent="0.55000000000000004">
      <c r="J74" s="2" t="s">
        <v>13</v>
      </c>
      <c r="K74" s="8">
        <v>-100.4999999999086</v>
      </c>
      <c r="N74" s="8"/>
      <c r="O74" s="8"/>
      <c r="P74" s="8"/>
    </row>
    <row r="75" spans="1:16" ht="16.5" customHeight="1" x14ac:dyDescent="0.55000000000000004">
      <c r="J75" s="2" t="s">
        <v>12</v>
      </c>
      <c r="K75" s="8">
        <v>99.999999999909051</v>
      </c>
      <c r="N75" s="8"/>
      <c r="O75" s="8"/>
      <c r="P75" s="8"/>
    </row>
    <row r="76" spans="1:16" ht="16.5" customHeight="1" x14ac:dyDescent="0.55000000000000004">
      <c r="J76" s="2" t="s">
        <v>45</v>
      </c>
      <c r="K76" s="8">
        <v>0</v>
      </c>
      <c r="N76" s="8"/>
      <c r="O76" s="8"/>
      <c r="P76" s="8"/>
    </row>
    <row r="77" spans="1:16" ht="16.5" customHeight="1" x14ac:dyDescent="0.55000000000000004">
      <c r="J77" s="2" t="s">
        <v>14</v>
      </c>
      <c r="K77" s="8">
        <v>99.999999999909051</v>
      </c>
    </row>
    <row r="78" spans="1:16" ht="16.5" customHeight="1" x14ac:dyDescent="0.55000000000000004">
      <c r="J78" s="2" t="s">
        <v>15</v>
      </c>
      <c r="K78" s="8">
        <v>-124.99999999988631</v>
      </c>
    </row>
    <row r="79" spans="1:16" ht="16.5" customHeight="1" x14ac:dyDescent="0.55000000000000004">
      <c r="J79" s="2" t="s">
        <v>46</v>
      </c>
      <c r="K79" s="8">
        <v>24.999999999977263</v>
      </c>
    </row>
    <row r="80" spans="1:16" ht="16.5" customHeight="1" x14ac:dyDescent="0.55000000000000004">
      <c r="J80" s="2" t="s">
        <v>47</v>
      </c>
      <c r="K80" s="8">
        <v>0</v>
      </c>
    </row>
    <row r="81" spans="9:11" ht="16.5" customHeight="1" x14ac:dyDescent="0.55000000000000004">
      <c r="J81" s="2" t="s">
        <v>48</v>
      </c>
      <c r="K81" s="8">
        <v>24.999999999977263</v>
      </c>
    </row>
    <row r="82" spans="9:11" ht="16.5" customHeight="1" x14ac:dyDescent="0.55000000000000004">
      <c r="J82" s="2" t="s">
        <v>49</v>
      </c>
      <c r="K82" s="8">
        <v>-25.999999999976353</v>
      </c>
    </row>
    <row r="83" spans="9:11" ht="16.5" customHeight="1" x14ac:dyDescent="0.55000000000000004">
      <c r="I83" s="3" t="s">
        <v>10</v>
      </c>
      <c r="J83" s="3" t="s">
        <v>10</v>
      </c>
      <c r="K83" s="3" t="s">
        <v>33</v>
      </c>
    </row>
    <row r="85" spans="9:11" ht="16.5" customHeight="1" x14ac:dyDescent="0.55000000000000004">
      <c r="I85" s="3" t="s">
        <v>90</v>
      </c>
    </row>
    <row r="86" spans="9:11" ht="16.5" customHeight="1" x14ac:dyDescent="0.55000000000000004">
      <c r="I86" s="3" t="s">
        <v>91</v>
      </c>
    </row>
    <row r="87" spans="9:11" ht="16.5" customHeight="1" x14ac:dyDescent="0.55000000000000004">
      <c r="I87" s="2" t="s">
        <v>73</v>
      </c>
    </row>
    <row r="88" spans="9:11" ht="16.5" customHeight="1" x14ac:dyDescent="0.55000000000000004">
      <c r="J88" s="2" t="s">
        <v>51</v>
      </c>
      <c r="K88" s="14">
        <v>1E-3</v>
      </c>
    </row>
    <row r="89" spans="9:11" ht="16.5" customHeight="1" x14ac:dyDescent="0.55000000000000004">
      <c r="J89" s="2" t="s">
        <v>52</v>
      </c>
      <c r="K89" s="14">
        <v>500</v>
      </c>
    </row>
    <row r="90" spans="9:11" ht="16.5" customHeight="1" x14ac:dyDescent="0.55000000000000004">
      <c r="J90" s="2" t="s">
        <v>56</v>
      </c>
      <c r="K90" s="14">
        <v>600</v>
      </c>
    </row>
    <row r="91" spans="9:11" ht="16.5" customHeight="1" x14ac:dyDescent="0.55000000000000004">
      <c r="J91" s="2" t="s">
        <v>57</v>
      </c>
      <c r="K91" s="16">
        <f ca="1">K42</f>
        <v>337.71491803278684</v>
      </c>
    </row>
    <row r="92" spans="9:11" ht="16.5" customHeight="1" x14ac:dyDescent="0.55000000000000004">
      <c r="J92" s="2" t="s">
        <v>50</v>
      </c>
      <c r="K92">
        <f ca="1">K88*K89*(K90-K91)</f>
        <v>131.14254098360658</v>
      </c>
    </row>
    <row r="93" spans="9:11" ht="16.5" customHeight="1" x14ac:dyDescent="0.55000000000000004">
      <c r="I93" s="2" t="s">
        <v>72</v>
      </c>
    </row>
    <row r="94" spans="9:11" ht="16.5" customHeight="1" x14ac:dyDescent="0.55000000000000004">
      <c r="J94" s="2" t="s">
        <v>53</v>
      </c>
      <c r="K94">
        <f ca="1">K88</f>
        <v>1E-3</v>
      </c>
    </row>
    <row r="95" spans="9:11" ht="16.5" customHeight="1" x14ac:dyDescent="0.55000000000000004">
      <c r="J95" s="2" t="s">
        <v>54</v>
      </c>
      <c r="K95" s="14">
        <v>1E-3</v>
      </c>
    </row>
    <row r="96" spans="9:11" ht="16.5" customHeight="1" x14ac:dyDescent="0.55000000000000004">
      <c r="J96" s="2" t="s">
        <v>55</v>
      </c>
      <c r="K96" s="14">
        <v>100</v>
      </c>
    </row>
    <row r="97" spans="9:11" ht="16.5" customHeight="1" x14ac:dyDescent="0.55000000000000004">
      <c r="J97" s="2" t="s">
        <v>58</v>
      </c>
      <c r="K97" s="16">
        <f ca="1">K42</f>
        <v>337.71491803278684</v>
      </c>
    </row>
    <row r="98" spans="9:11" ht="16.5" customHeight="1" x14ac:dyDescent="0.55000000000000004">
      <c r="J98" s="2" t="s">
        <v>59</v>
      </c>
      <c r="K98" s="16">
        <f ca="1">K43</f>
        <v>336.40344262295082</v>
      </c>
    </row>
    <row r="99" spans="9:11" ht="16.5" customHeight="1" x14ac:dyDescent="0.55000000000000004">
      <c r="J99" s="2" t="s">
        <v>60</v>
      </c>
      <c r="K99">
        <f ca="1">K94*K96/K95*(K97-K98)</f>
        <v>131.14754098360208</v>
      </c>
    </row>
    <row r="100" spans="9:11" ht="16.5" customHeight="1" x14ac:dyDescent="0.55000000000000004">
      <c r="I100" s="2" t="s">
        <v>72</v>
      </c>
    </row>
    <row r="101" spans="9:11" ht="16.5" customHeight="1" x14ac:dyDescent="0.55000000000000004">
      <c r="J101" s="2" t="s">
        <v>61</v>
      </c>
      <c r="K101">
        <f ca="1">K88</f>
        <v>1E-3</v>
      </c>
    </row>
    <row r="102" spans="9:11" ht="16.5" customHeight="1" x14ac:dyDescent="0.55000000000000004">
      <c r="J102" s="2" t="s">
        <v>62</v>
      </c>
      <c r="K102" s="14">
        <v>2E-3</v>
      </c>
    </row>
    <row r="103" spans="9:11" ht="16.5" customHeight="1" x14ac:dyDescent="0.55000000000000004">
      <c r="J103" s="2" t="s">
        <v>63</v>
      </c>
      <c r="K103" s="14">
        <v>50</v>
      </c>
    </row>
    <row r="104" spans="9:11" ht="16.5" customHeight="1" x14ac:dyDescent="0.55000000000000004">
      <c r="J104" s="2" t="s">
        <v>64</v>
      </c>
      <c r="K104" s="16">
        <f ca="1">K43</f>
        <v>336.40344262295082</v>
      </c>
    </row>
    <row r="105" spans="9:11" ht="16.5" customHeight="1" x14ac:dyDescent="0.55000000000000004">
      <c r="J105" s="2" t="s">
        <v>65</v>
      </c>
      <c r="K105" s="16">
        <f ca="1">K44</f>
        <v>331.15754098360657</v>
      </c>
    </row>
    <row r="106" spans="9:11" ht="16.5" customHeight="1" x14ac:dyDescent="0.55000000000000004">
      <c r="J106" s="2" t="s">
        <v>66</v>
      </c>
      <c r="K106">
        <f ca="1">K101*K103/K102*(K104-K105)</f>
        <v>131.14754098360635</v>
      </c>
    </row>
    <row r="107" spans="9:11" ht="16.5" customHeight="1" x14ac:dyDescent="0.55000000000000004">
      <c r="I107" s="2" t="s">
        <v>74</v>
      </c>
    </row>
    <row r="108" spans="9:11" ht="16.5" customHeight="1" x14ac:dyDescent="0.55000000000000004">
      <c r="J108" s="2" t="s">
        <v>67</v>
      </c>
      <c r="K108">
        <f ca="1">K88</f>
        <v>1E-3</v>
      </c>
    </row>
    <row r="109" spans="9:11" ht="16.5" customHeight="1" x14ac:dyDescent="0.55000000000000004">
      <c r="J109" s="2" t="s">
        <v>68</v>
      </c>
      <c r="K109" s="14">
        <v>1000</v>
      </c>
    </row>
    <row r="110" spans="9:11" ht="16.5" customHeight="1" x14ac:dyDescent="0.55000000000000004">
      <c r="J110" s="2" t="s">
        <v>69</v>
      </c>
      <c r="K110" s="16">
        <f ca="1">K44</f>
        <v>331.15754098360657</v>
      </c>
    </row>
    <row r="111" spans="9:11" ht="16.5" customHeight="1" x14ac:dyDescent="0.55000000000000004">
      <c r="J111" s="2" t="s">
        <v>70</v>
      </c>
      <c r="K111" s="15">
        <v>200</v>
      </c>
    </row>
    <row r="112" spans="9:11" ht="16.5" customHeight="1" x14ac:dyDescent="0.55000000000000004">
      <c r="J112" s="2" t="s">
        <v>71</v>
      </c>
      <c r="K112">
        <f ca="1">K108*K109*(K110-K111)</f>
        <v>131.15754098360657</v>
      </c>
    </row>
    <row r="114" spans="9:11" ht="16.5" customHeight="1" x14ac:dyDescent="0.55000000000000004">
      <c r="I114" s="2" t="s">
        <v>78</v>
      </c>
    </row>
    <row r="115" spans="9:11" ht="16.5" customHeight="1" x14ac:dyDescent="0.55000000000000004">
      <c r="J115" s="2" t="s">
        <v>75</v>
      </c>
      <c r="K115" s="10">
        <f ca="1">K92-K99</f>
        <v>-4.9999999955048224E-3</v>
      </c>
    </row>
    <row r="116" spans="9:11" ht="16.5" customHeight="1" x14ac:dyDescent="0.55000000000000004">
      <c r="J116" s="2" t="s">
        <v>76</v>
      </c>
      <c r="K116" s="10">
        <f ca="1">K99-K106</f>
        <v>-4.2632564145606011E-12</v>
      </c>
    </row>
    <row r="117" spans="9:11" ht="16.5" customHeight="1" x14ac:dyDescent="0.55000000000000004">
      <c r="J117" s="2" t="s">
        <v>77</v>
      </c>
      <c r="K117" s="10">
        <f ca="1">K106-K112</f>
        <v>-1.0000000000218279E-2</v>
      </c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grabacr</dc:creator>
  <dc:description/>
  <cp:lastModifiedBy>grabacr</cp:lastModifiedBy>
  <cp:revision>4</cp:revision>
  <dcterms:created xsi:type="dcterms:W3CDTF">2021-07-17T13:54:00Z</dcterms:created>
  <dcterms:modified xsi:type="dcterms:W3CDTF">2021-08-01T09:58:47Z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